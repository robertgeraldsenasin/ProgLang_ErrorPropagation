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TART HERE" sheetId="1" state="visible" r:id="rId1"/>
    <sheet name="Data Entry Guide" sheetId="2" state="visible" r:id="rId2"/>
    <sheet name="Setup Checklist" sheetId="3" state="visible" r:id="rId3"/>
    <sheet name="Lookups" sheetId="4" state="hidden" r:id="rId4"/>
    <sheet name="Prompt Library" sheetId="5" state="visible" r:id="rId5"/>
    <sheet name="Tasks" sheetId="6" state="visible" r:id="rId6"/>
    <sheet name="Run Plan" sheetId="7" state="visible" r:id="rId7"/>
    <sheet name="Turn Log" sheetId="8" state="visible" r:id="rId8"/>
    <sheet name="Run Summary" sheetId="9" state="visible" r:id="rId9"/>
    <sheet name="Stability Checks" sheetId="10" state="visible" r:id="rId10"/>
    <sheet name="Metrics Dictionary" sheetId="11" state="visible" r:id="rId11"/>
    <sheet name="Example Run" sheetId="12" state="visible" r:id="rId12"/>
    <sheet name="Dashboard" sheetId="13" state="visible" r:id="rId13"/>
  </sheets>
  <definedNames>
    <definedName name="_xlnm._FilterDatabase" localSheetId="2" hidden="1">'Setup Checklist'!$A$3:$H$200</definedName>
    <definedName name="_xlnm._FilterDatabase" localSheetId="4" hidden="1">'Prompt Library'!$A$4:$F$100</definedName>
    <definedName name="_xlnm._FilterDatabase" localSheetId="5" hidden="1">'Tasks'!$A$4:$L$300</definedName>
    <definedName name="_xlnm._FilterDatabase" localSheetId="6" hidden="1">'Run Plan'!$A$4:$R$400</definedName>
    <definedName name="_xlnm._FilterDatabase" localSheetId="7" hidden="1">'Turn Log'!$A$4:$AE$404</definedName>
    <definedName name="_xlnm._FilterDatabase" localSheetId="8" hidden="1">'Run Summary'!$A$4:$S$304</definedName>
    <definedName name="_xlnm._FilterDatabase" localSheetId="9" hidden="1">'Stability Checks'!$A$4:$H$206</definedName>
    <definedName name="_xlnm._FilterDatabase" localSheetId="10" hidden="1">'Metrics Dictionary'!$A$3:$F$100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10">
    <font>
      <name val="Calibri"/>
      <color theme="1"/>
      <sz val="11"/>
      <scheme val="minor"/>
    </font>
    <font>
      <name val="Calibri"/>
      <b val="1"/>
      <color rgb="FFFFFFFF"/>
      <sz val="15"/>
    </font>
    <font/>
    <font>
      <name val="Calibri"/>
      <b val="1"/>
      <color rgb="FF1F2937"/>
      <sz val="10"/>
    </font>
    <font>
      <name val="Calibri"/>
      <color rgb="FF1F2937"/>
      <sz val="10"/>
    </font>
    <font>
      <name val="Calibri"/>
      <b val="1"/>
      <color rgb="FFFFFFFF"/>
      <sz val="12"/>
    </font>
    <font>
      <name val="Calibri"/>
      <b val="1"/>
      <color rgb="FFFFFFFF"/>
      <sz val="10"/>
    </font>
    <font>
      <name val="Calibri"/>
      <b val="1"/>
      <color rgb="FFFFFFFF"/>
      <sz val="16"/>
    </font>
    <font>
      <name val="Calibri"/>
      <b val="1"/>
      <color rgb="FFFFFFFF"/>
      <sz val="11"/>
    </font>
    <font>
      <name val="Calibri"/>
      <b val="1"/>
      <color rgb="FF1F2937"/>
      <sz val="16"/>
    </font>
  </fonts>
  <fills count="12">
    <fill>
      <patternFill/>
    </fill>
    <fill>
      <patternFill patternType="lightGray"/>
    </fill>
    <fill>
      <patternFill patternType="solid">
        <fgColor rgb="FF0F2747"/>
        <bgColor rgb="FF0F2747"/>
      </patternFill>
    </fill>
    <fill>
      <patternFill patternType="solid">
        <fgColor rgb="FFEAF5F7"/>
        <bgColor rgb="FFEAF5F7"/>
      </patternFill>
    </fill>
    <fill>
      <patternFill patternType="solid">
        <fgColor rgb="FFF5F7FA"/>
        <bgColor rgb="FFF5F7FA"/>
      </patternFill>
    </fill>
    <fill>
      <patternFill patternType="solid">
        <fgColor rgb="FF1F7A8C"/>
        <bgColor rgb="FF1F7A8C"/>
      </patternFill>
    </fill>
    <fill>
      <patternFill patternType="solid">
        <fgColor rgb="FFEEF3FB"/>
        <bgColor rgb="FFEEF3FB"/>
      </patternFill>
    </fill>
    <fill>
      <patternFill patternType="solid">
        <fgColor rgb="FFFFFFFF"/>
        <bgColor rgb="FFFFFFFF"/>
      </patternFill>
    </fill>
    <fill>
      <patternFill patternType="solid">
        <fgColor rgb="FFEAF6EC"/>
        <bgColor rgb="FFEAF6EC"/>
      </patternFill>
    </fill>
    <fill>
      <patternFill patternType="solid">
        <fgColor rgb="FFFFF9E6"/>
        <bgColor rgb="FFFFF9E6"/>
      </patternFill>
    </fill>
    <fill>
      <patternFill patternType="solid">
        <fgColor rgb="FFFDECEC"/>
        <bgColor rgb="FFFDECEC"/>
      </patternFill>
    </fill>
    <fill>
      <patternFill patternType="solid">
        <fgColor rgb="FFF3EEFF"/>
        <bgColor rgb="FFF3EEFF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bottom style="thin">
        <color rgb="FFD1D5DB"/>
      </bottom>
    </border>
    <border>
      <right/>
      <bottom style="thin">
        <color rgb="FFD1D5DB"/>
      </bottom>
    </border>
    <border>
      <top style="thin">
        <color rgb="FFD1D5DB"/>
      </top>
      <bottom style="thin">
        <color rgb="FFD1D5DB"/>
      </bottom>
    </border>
    <border>
      <left/>
      <right/>
      <top/>
      <bottom/>
    </border>
  </borders>
  <cellStyleXfs count="1">
    <xf numFmtId="0" fontId="0" fillId="0" borderId="0"/>
  </cellStyleXfs>
  <cellXfs count="6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2" fillId="0" borderId="4" pivotButton="0" quotePrefix="0" xfId="0"/>
    <xf numFmtId="0" fontId="5" fillId="5" borderId="1" applyAlignment="1" pivotButton="0" quotePrefix="0" xfId="0">
      <alignment horizontal="left" vertical="center"/>
    </xf>
    <xf numFmtId="0" fontId="3" fillId="6" borderId="4" applyAlignment="1" pivotButton="0" quotePrefix="0" xfId="0">
      <alignment horizontal="left" vertical="center" wrapText="1"/>
    </xf>
    <xf numFmtId="0" fontId="4" fillId="7" borderId="4" applyAlignment="1" pivotButton="0" quotePrefix="0" xfId="0">
      <alignment horizontal="left" vertical="center" wrapText="1"/>
    </xf>
    <xf numFmtId="0" fontId="6" fillId="2" borderId="4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4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 wrapText="1"/>
    </xf>
    <xf numFmtId="0" fontId="4" fillId="4" borderId="4" applyAlignment="1" pivotButton="0" quotePrefix="0" xfId="0">
      <alignment horizontal="left" vertical="center" wrapText="1"/>
    </xf>
    <xf numFmtId="0" fontId="6" fillId="2" borderId="6" applyAlignment="1" pivotButton="0" quotePrefix="0" xfId="0">
      <alignment horizontal="center" vertical="center" wrapText="1"/>
    </xf>
    <xf numFmtId="0" fontId="3" fillId="8" borderId="4" applyAlignment="1" pivotButton="0" quotePrefix="0" xfId="0">
      <alignment horizontal="left" vertical="center" wrapText="1"/>
    </xf>
    <xf numFmtId="0" fontId="3" fillId="9" borderId="4" applyAlignment="1" pivotButton="0" quotePrefix="0" xfId="0">
      <alignment horizontal="left" vertical="center" wrapText="1"/>
    </xf>
    <xf numFmtId="0" fontId="3" fillId="10" borderId="4" applyAlignment="1" pivotButton="0" quotePrefix="0" xfId="0">
      <alignment horizontal="left" vertical="center" wrapText="1"/>
    </xf>
    <xf numFmtId="0" fontId="3" fillId="4" borderId="4" applyAlignment="1" pivotButton="0" quotePrefix="0" xfId="0">
      <alignment horizontal="left" vertical="center" wrapText="1"/>
    </xf>
    <xf numFmtId="0" fontId="3" fillId="11" borderId="4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left" vertical="center" wrapText="1"/>
    </xf>
    <xf numFmtId="0" fontId="4" fillId="4" borderId="4" applyAlignment="1" pivotButton="0" quotePrefix="0" xfId="0">
      <alignment horizontal="center" vertical="center" wrapText="1"/>
    </xf>
    <xf numFmtId="0" fontId="3" fillId="11" borderId="4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left" vertical="center" wrapText="1"/>
    </xf>
    <xf numFmtId="0" fontId="4" fillId="11" borderId="4" applyAlignment="1" pivotButton="0" quotePrefix="0" xfId="0">
      <alignment horizontal="center" vertical="center" wrapText="1"/>
    </xf>
    <xf numFmtId="0" fontId="4" fillId="8" borderId="4" applyAlignment="1" pivotButton="0" quotePrefix="0" xfId="0">
      <alignment horizontal="center" vertical="center" wrapText="1"/>
    </xf>
    <xf numFmtId="0" fontId="4" fillId="9" borderId="4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9" fillId="11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2" borderId="7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5" fillId="5" borderId="7" applyAlignment="1" pivotButton="0" quotePrefix="0" xfId="0">
      <alignment horizontal="left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0" fontId="4" fillId="6" borderId="4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left" vertical="center" wrapText="1"/>
    </xf>
    <xf numFmtId="0" fontId="7" fillId="2" borderId="7" applyAlignment="1" pivotButton="0" quotePrefix="0" xfId="0">
      <alignment horizontal="left" vertical="center"/>
    </xf>
    <xf numFmtId="0" fontId="6" fillId="2" borderId="4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left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left" vertical="center" wrapText="1"/>
    </xf>
    <xf numFmtId="0" fontId="4" fillId="4" borderId="4" applyAlignment="1" pivotButton="0" quotePrefix="0" xfId="0">
      <alignment horizontal="center" vertical="center" wrapText="1"/>
    </xf>
    <xf numFmtId="0" fontId="9" fillId="3" borderId="4" applyAlignment="1" pivotButton="0" quotePrefix="0" xfId="0">
      <alignment horizontal="center" vertical="center" wrapText="1"/>
    </xf>
    <xf numFmtId="0" fontId="9" fillId="8" borderId="4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9" fillId="9" borderId="4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 wrapText="1"/>
    </xf>
    <xf numFmtId="0" fontId="9" fillId="11" borderId="4" applyAlignment="1" pivotButton="0" quotePrefix="0" xfId="0">
      <alignment horizontal="center" vertical="center" wrapText="1"/>
    </xf>
  </cellXfs>
  <cellStyles count="1">
    <cellStyle name="Normal" xfId="0" builtinId="0"/>
  </cellStyles>
  <dxfs count="5">
    <dxf>
      <font/>
      <fill>
        <patternFill patternType="solid">
          <fgColor rgb="FFEAF6EC"/>
          <bgColor rgb="FFEAF6EC"/>
        </patternFill>
      </fill>
      <border/>
    </dxf>
    <dxf>
      <font/>
      <fill>
        <patternFill patternType="solid">
          <fgColor rgb="FFEAF5F7"/>
          <bgColor rgb="FFEAF5F7"/>
        </patternFill>
      </fill>
      <border/>
    </dxf>
    <dxf>
      <font/>
      <fill>
        <patternFill patternType="solid">
          <fgColor rgb="FFFDECEC"/>
          <bgColor rgb="FFFDECEC"/>
        </patternFill>
      </fill>
      <border/>
    </dxf>
    <dxf>
      <font/>
      <fill>
        <patternFill patternType="solid">
          <fgColor rgb="FFFFF9E6"/>
          <bgColor rgb="FFFFF9E6"/>
        </patternFill>
      </fill>
      <border/>
    </dxf>
    <dxf>
      <font/>
      <fill>
        <patternFill patternType="solid">
          <fgColor rgb="FFFFD7D4"/>
          <bgColor rgb="FFFFD7D4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None</author>
  </authors>
  <commentList>
    <comment ref="A4" authorId="0" shapeId="0">
      <text>
        <t>Batch grouping used during recording sessions. Example: PILOT_A or MAIN_B.</t>
      </text>
    </comment>
    <comment ref="B4" authorId="0" shapeId="0">
      <text>
        <t>Unique run ID. Must match Run Plan, file names, and recording labels exactly.</t>
      </text>
    </comment>
    <comment ref="Q4" authorId="0" shapeId="0">
      <text>
        <t>Primary per-turn label. Choose one: Pass, WrongResult, RuntimeError, SchemaError, SyntaxError, Timeout, FormatError.</t>
      </text>
    </comment>
    <comment ref="R4" authorId="0" shapeId="0">
      <text>
        <t>Formula-driven severity score from the Lookups sheet.</t>
      </text>
    </comment>
    <comment ref="Y4" authorId="0" shapeId="0">
      <text>
        <t>Formula flag; 1 means the turn regressed relative to the prior turn.</t>
      </text>
    </comment>
    <comment ref="AA4" authorId="0" shapeId="0">
      <text>
        <t>Path to the feedback text sent to the model for the next turn.</t>
      </text>
    </comment>
    <comment ref="AC4" authorId="0" shapeId="0">
      <text>
        <t>Recording timestamp in hh:mm:ss so you can jump back to the video evidence.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selection activeCell="A1" sqref="A1"/>
    </sheetView>
  </sheetViews>
  <sheetFormatPr baseColWidth="8" defaultColWidth="14.43" defaultRowHeight="15" customHeight="1"/>
  <cols>
    <col width="18" customWidth="1" style="40" min="1" max="4"/>
    <col width="20" customWidth="1" style="40" min="5" max="8"/>
    <col width="16" customWidth="1" style="40" min="9" max="12"/>
    <col width="8.710000000000001" customWidth="1" style="40" min="13" max="26"/>
  </cols>
  <sheetData>
    <row r="1" ht="24" customHeight="1" s="40">
      <c r="A1" s="41" t="inlineStr">
        <is>
          <t>Experiment Control Workbook — Spider2-Lite Testing Log</t>
        </is>
      </c>
    </row>
    <row r="2" ht="19.5" customHeight="1" s="40">
      <c r="A2" s="42" t="n"/>
      <c r="B2" s="53" t="n"/>
    </row>
    <row r="3" ht="19.5" customHeight="1" s="40">
      <c r="A3" s="43" t="n"/>
      <c r="B3" s="43" t="n"/>
      <c r="C3" s="43" t="n"/>
      <c r="D3" s="43" t="n"/>
      <c r="E3" s="43" t="n"/>
      <c r="F3" s="43" t="n"/>
      <c r="G3" s="43" t="n"/>
      <c r="H3" s="43" t="n"/>
      <c r="I3" s="43" t="n"/>
      <c r="J3" s="43" t="n"/>
      <c r="K3" s="43" t="n"/>
      <c r="L3" s="43" t="n"/>
    </row>
    <row r="4" ht="19.5" customHeight="1" s="40"/>
    <row r="5" ht="19.5" customHeight="1" s="40">
      <c r="A5" s="44" t="inlineStr">
        <is>
          <t>How to use this workbook in order</t>
        </is>
      </c>
    </row>
    <row r="6" ht="19.5" customHeight="1" s="40">
      <c r="A6" s="8" t="inlineStr">
        <is>
          <t>1. Setup Checklist</t>
        </is>
      </c>
      <c r="B6" s="43" t="n"/>
      <c r="C6" s="43" t="n"/>
      <c r="D6" s="9" t="inlineStr">
        <is>
          <t>Confirm software, dataset files, API keys, and recording setup before you start.</t>
        </is>
      </c>
      <c r="E6" s="43" t="n"/>
      <c r="F6" s="43" t="n"/>
      <c r="G6" s="43" t="n"/>
      <c r="H6" s="43" t="n"/>
      <c r="I6" s="43" t="n"/>
      <c r="J6" s="43" t="n"/>
      <c r="K6" s="43" t="n"/>
      <c r="L6" s="43" t="n"/>
    </row>
    <row r="7" ht="19.5" customHeight="1" s="40">
      <c r="A7" s="8" t="inlineStr">
        <is>
          <t>2. Tasks</t>
        </is>
      </c>
      <c r="B7" s="43" t="n"/>
      <c r="C7" s="43" t="n"/>
      <c r="D7" s="9" t="inlineStr">
        <is>
          <t>List the exact Spider2-Lite SQLite tasks you will test; this becomes your fixed manifest.</t>
        </is>
      </c>
      <c r="E7" s="43" t="n"/>
      <c r="F7" s="43" t="n"/>
      <c r="G7" s="43" t="n"/>
      <c r="H7" s="43" t="n"/>
      <c r="I7" s="43" t="n"/>
      <c r="J7" s="43" t="n"/>
      <c r="K7" s="43" t="n"/>
      <c r="L7" s="43" t="n"/>
    </row>
    <row r="8" ht="19.5" customHeight="1" s="40">
      <c r="A8" s="8" t="inlineStr">
        <is>
          <t>3. Prompt Library</t>
        </is>
      </c>
      <c r="B8" s="43" t="n"/>
      <c r="C8" s="43" t="n"/>
      <c r="D8" s="9" t="inlineStr">
        <is>
          <t>Store the approved Turn 1 and revision prompts so all models are tested consistently.</t>
        </is>
      </c>
      <c r="E8" s="43" t="n"/>
      <c r="F8" s="43" t="n"/>
      <c r="G8" s="43" t="n"/>
      <c r="H8" s="43" t="n"/>
      <c r="I8" s="43" t="n"/>
      <c r="J8" s="43" t="n"/>
      <c r="K8" s="43" t="n"/>
      <c r="L8" s="43" t="n"/>
    </row>
    <row r="9" ht="19.5" customHeight="1" s="40">
      <c r="A9" s="8" t="inlineStr">
        <is>
          <t>4. Run Plan</t>
        </is>
      </c>
      <c r="B9" s="43" t="n"/>
      <c r="C9" s="43" t="n"/>
      <c r="D9" s="9" t="inlineStr">
        <is>
          <t>Create one row per planned trajectory: task × model × protocol × replicate.</t>
        </is>
      </c>
      <c r="E9" s="43" t="n"/>
      <c r="F9" s="43" t="n"/>
      <c r="G9" s="43" t="n"/>
      <c r="H9" s="43" t="n"/>
      <c r="I9" s="43" t="n"/>
      <c r="J9" s="43" t="n"/>
      <c r="K9" s="43" t="n"/>
      <c r="L9" s="43" t="n"/>
    </row>
    <row r="10" ht="19.5" customHeight="1" s="40">
      <c r="A10" s="8" t="inlineStr">
        <is>
          <t>5. Turn Log</t>
        </is>
      </c>
      <c r="B10" s="43" t="n"/>
      <c r="C10" s="43" t="n"/>
      <c r="D10" s="9" t="inlineStr">
        <is>
          <t>Log every turn immediately after execution — this is the main evidence sheet.</t>
        </is>
      </c>
      <c r="E10" s="43" t="n"/>
      <c r="F10" s="43" t="n"/>
      <c r="G10" s="43" t="n"/>
      <c r="H10" s="43" t="n"/>
      <c r="I10" s="43" t="n"/>
      <c r="J10" s="43" t="n"/>
      <c r="K10" s="43" t="n"/>
      <c r="L10" s="43" t="n"/>
    </row>
    <row r="11" ht="19.5" customHeight="1" s="40">
      <c r="A11" s="8" t="inlineStr">
        <is>
          <t>6. Run Summary</t>
        </is>
      </c>
      <c r="B11" s="43" t="n"/>
      <c r="C11" s="43" t="n"/>
      <c r="D11" s="9" t="inlineStr">
        <is>
          <t>Review per-run totals such as first pass turn, regressions, oscillations, and final state.</t>
        </is>
      </c>
      <c r="E11" s="43" t="n"/>
      <c r="F11" s="43" t="n"/>
      <c r="G11" s="43" t="n"/>
      <c r="H11" s="43" t="n"/>
      <c r="I11" s="43" t="n"/>
      <c r="J11" s="43" t="n"/>
      <c r="K11" s="43" t="n"/>
      <c r="L11" s="43" t="n"/>
    </row>
    <row r="12" ht="19.5" customHeight="1" s="40">
      <c r="A12" s="8" t="inlineStr">
        <is>
          <t>7. Stability Checks</t>
        </is>
      </c>
      <c r="B12" s="43" t="n"/>
      <c r="C12" s="43" t="n"/>
      <c r="D12" s="9" t="inlineStr">
        <is>
          <t>Record re-execution and re-prompt stability tests for runs that reached Pass.</t>
        </is>
      </c>
      <c r="E12" s="43" t="n"/>
      <c r="F12" s="43" t="n"/>
      <c r="G12" s="43" t="n"/>
      <c r="H12" s="43" t="n"/>
      <c r="I12" s="43" t="n"/>
      <c r="J12" s="43" t="n"/>
      <c r="K12" s="43" t="n"/>
      <c r="L12" s="43" t="n"/>
    </row>
    <row r="13" ht="19.5" customHeight="1" s="40">
      <c r="A13" s="8" t="inlineStr">
        <is>
          <t>8. Dashboard</t>
        </is>
      </c>
      <c r="B13" s="43" t="n"/>
      <c r="C13" s="43" t="n"/>
      <c r="D13" s="9" t="inlineStr">
        <is>
          <t>Use the summary cells and filters to prepare figures/tables for the paper.</t>
        </is>
      </c>
      <c r="E13" s="43" t="n"/>
      <c r="F13" s="43" t="n"/>
      <c r="G13" s="43" t="n"/>
      <c r="H13" s="43" t="n"/>
      <c r="I13" s="43" t="n"/>
      <c r="J13" s="43" t="n"/>
      <c r="K13" s="43" t="n"/>
      <c r="L13" s="43" t="n"/>
    </row>
    <row r="14" ht="19.5" customHeight="1" s="40">
      <c r="A14" s="44" t="inlineStr">
        <is>
          <t>Tip: read the new 'Data Entry Guide' tab before logging your first batch.</t>
        </is>
      </c>
    </row>
    <row r="15" ht="19.5" customHeight="1" s="40"/>
    <row r="16" ht="19.5" customHeight="1" s="40">
      <c r="A16" s="44" t="inlineStr">
        <is>
          <t>Sheet map — what each tab should hold</t>
        </is>
      </c>
    </row>
    <row r="17" ht="27.75" customHeight="1" s="40">
      <c r="A17" s="52" t="inlineStr">
        <is>
          <t>Tab</t>
        </is>
      </c>
      <c r="B17" s="45" t="inlineStr">
        <is>
          <t>What it stores</t>
        </is>
      </c>
      <c r="C17" s="43" t="n"/>
      <c r="D17" s="43" t="n"/>
      <c r="E17" s="43" t="n"/>
      <c r="F17" s="43" t="n"/>
      <c r="G17" s="45" t="inlineStr">
        <is>
          <t>When you touch it</t>
        </is>
      </c>
      <c r="H17" s="43" t="n"/>
      <c r="I17" s="43" t="n"/>
      <c r="J17" s="45" t="inlineStr">
        <is>
          <t>Key traceability fields</t>
        </is>
      </c>
      <c r="K17" s="43" t="n"/>
      <c r="L17" s="43" t="n"/>
    </row>
    <row r="18" ht="21.75" customHeight="1" s="40">
      <c r="A18" s="12" t="inlineStr">
        <is>
          <t>Setup Checklist</t>
        </is>
      </c>
      <c r="B18" s="48" t="inlineStr">
        <is>
          <t>Environment readiness and evidence links</t>
        </is>
      </c>
      <c r="C18" s="43" t="n"/>
      <c r="D18" s="43" t="n"/>
      <c r="E18" s="43" t="n"/>
      <c r="F18" s="43" t="n"/>
      <c r="G18" s="48" t="inlineStr">
        <is>
          <t>Before testing, and when something changes</t>
        </is>
      </c>
      <c r="H18" s="43" t="n"/>
      <c r="I18" s="43" t="n"/>
      <c r="J18" s="53" t="inlineStr">
        <is>
          <t>status, evidence_path, checked_on</t>
        </is>
      </c>
      <c r="K18" s="43" t="n"/>
      <c r="L18" s="43" t="n"/>
    </row>
    <row r="19" ht="21.75" customHeight="1" s="40">
      <c r="A19" s="12" t="inlineStr">
        <is>
          <t>Tasks</t>
        </is>
      </c>
      <c r="B19" s="48" t="inlineStr">
        <is>
          <t>The fixed task manifest for your pilot/main runs</t>
        </is>
      </c>
      <c r="C19" s="43" t="n"/>
      <c r="D19" s="43" t="n"/>
      <c r="E19" s="43" t="n"/>
      <c r="F19" s="43" t="n"/>
      <c r="G19" s="48" t="inlineStr">
        <is>
          <t>Once per selected task</t>
        </is>
      </c>
      <c r="H19" s="43" t="n"/>
      <c r="I19" s="43" t="n"/>
      <c r="J19" s="53" t="inlineStr">
        <is>
          <t>task_id, db_name, db_path, oracle_result_file</t>
        </is>
      </c>
      <c r="K19" s="43" t="n"/>
      <c r="L19" s="43" t="n"/>
    </row>
    <row r="20" ht="21.75" customHeight="1" s="40">
      <c r="A20" s="12" t="inlineStr">
        <is>
          <t>Prompt Library</t>
        </is>
      </c>
      <c r="B20" s="48" t="inlineStr">
        <is>
          <t>Approved prompts and feedback payload templates</t>
        </is>
      </c>
      <c r="C20" s="43" t="n"/>
      <c r="D20" s="43" t="n"/>
      <c r="E20" s="43" t="n"/>
      <c r="F20" s="43" t="n"/>
      <c r="G20" s="48" t="inlineStr">
        <is>
          <t>Before testing; edit only deliberately</t>
        </is>
      </c>
      <c r="H20" s="43" t="n"/>
      <c r="I20" s="43" t="n"/>
      <c r="J20" s="53" t="inlineStr">
        <is>
          <t>template_id, version, variables</t>
        </is>
      </c>
      <c r="K20" s="43" t="n"/>
      <c r="L20" s="43" t="n"/>
    </row>
    <row r="21" ht="21.75" customHeight="1" s="40">
      <c r="A21" s="12" t="inlineStr">
        <is>
          <t>Run Plan</t>
        </is>
      </c>
      <c r="B21" s="48" t="inlineStr">
        <is>
          <t>One row per planned trajectory</t>
        </is>
      </c>
      <c r="C21" s="43" t="n"/>
      <c r="D21" s="43" t="n"/>
      <c r="E21" s="43" t="n"/>
      <c r="F21" s="43" t="n"/>
      <c r="G21" s="48" t="inlineStr">
        <is>
          <t>Before each recording block</t>
        </is>
      </c>
      <c r="H21" s="43" t="n"/>
      <c r="I21" s="43" t="n"/>
      <c r="J21" s="53" t="inlineStr">
        <is>
          <t>run_id, model_id, protocol_id, record_file, folder_path</t>
        </is>
      </c>
      <c r="K21" s="43" t="n"/>
      <c r="L21" s="43" t="n"/>
    </row>
    <row r="22" ht="21.75" customHeight="1" s="40">
      <c r="A22" s="12" t="inlineStr">
        <is>
          <t>Turn Log</t>
        </is>
      </c>
      <c r="B22" s="48" t="inlineStr">
        <is>
          <t>One row per turn executed</t>
        </is>
      </c>
      <c r="C22" s="43" t="n"/>
      <c r="D22" s="43" t="n"/>
      <c r="E22" s="43" t="n"/>
      <c r="F22" s="43" t="n"/>
      <c r="G22" s="48" t="inlineStr">
        <is>
          <t>During every test turn</t>
        </is>
      </c>
      <c r="H22" s="43" t="n"/>
      <c r="I22" s="43" t="n"/>
      <c r="J22" s="53" t="inlineStr">
        <is>
          <t>run_id, turn_no, prompt_file, response_file, extracted_sql_file, exec_state</t>
        </is>
      </c>
      <c r="K22" s="43" t="n"/>
      <c r="L22" s="43" t="n"/>
    </row>
    <row r="23" ht="21.75" customHeight="1" s="40">
      <c r="A23" s="12" t="inlineStr">
        <is>
          <t>Run Summary</t>
        </is>
      </c>
      <c r="B23" s="48" t="inlineStr">
        <is>
          <t>Per-run rollups from Turn Log</t>
        </is>
      </c>
      <c r="C23" s="43" t="n"/>
      <c r="D23" s="43" t="n"/>
      <c r="E23" s="43" t="n"/>
      <c r="F23" s="43" t="n"/>
      <c r="G23" s="48" t="inlineStr">
        <is>
          <t>After each run or at analysis time</t>
        </is>
      </c>
      <c r="H23" s="43" t="n"/>
      <c r="I23" s="43" t="n"/>
      <c r="J23" s="53" t="inlineStr">
        <is>
          <t>first_pass_turn, final_state, regressions</t>
        </is>
      </c>
      <c r="K23" s="43" t="n"/>
      <c r="L23" s="43" t="n"/>
    </row>
    <row r="24" ht="21.75" customHeight="1" s="40">
      <c r="A24" s="12" t="inlineStr">
        <is>
          <t>Stability Checks</t>
        </is>
      </c>
      <c r="B24" s="48" t="inlineStr">
        <is>
          <t>Re-exec / re-prompt repeat checks</t>
        </is>
      </c>
      <c r="C24" s="43" t="n"/>
      <c r="D24" s="43" t="n"/>
      <c r="E24" s="43" t="n"/>
      <c r="F24" s="43" t="n"/>
      <c r="G24" s="48" t="inlineStr">
        <is>
          <t>After a run first reaches Pass</t>
        </is>
      </c>
      <c r="H24" s="43" t="n"/>
      <c r="I24" s="43" t="n"/>
      <c r="J24" s="53" t="inlineStr">
        <is>
          <t>check_type, repeat_no, outcome_state</t>
        </is>
      </c>
      <c r="K24" s="43" t="n"/>
      <c r="L24" s="43" t="n"/>
    </row>
    <row r="25" ht="21.75" customHeight="1" s="40">
      <c r="A25" s="12" t="inlineStr">
        <is>
          <t>Metrics Dictionary</t>
        </is>
      </c>
      <c r="B25" s="48" t="inlineStr">
        <is>
          <t>Definitions of every metric and label</t>
        </is>
      </c>
      <c r="C25" s="43" t="n"/>
      <c r="D25" s="43" t="n"/>
      <c r="E25" s="43" t="n"/>
      <c r="F25" s="43" t="n"/>
      <c r="G25" s="48" t="inlineStr">
        <is>
          <t>Reference only</t>
        </is>
      </c>
      <c r="H25" s="43" t="n"/>
      <c r="I25" s="43" t="n"/>
      <c r="J25" s="53" t="inlineStr">
        <is>
          <t>metric_name, interpretation, source_sheet</t>
        </is>
      </c>
      <c r="K25" s="43" t="n"/>
      <c r="L25" s="43" t="n"/>
    </row>
    <row r="26" ht="21.75" customHeight="1" s="40">
      <c r="A26" s="12" t="inlineStr">
        <is>
          <t>Dashboard</t>
        </is>
      </c>
      <c r="B26" s="48" t="inlineStr">
        <is>
          <t>Quick totals for status meetings and slides</t>
        </is>
      </c>
      <c r="C26" s="43" t="n"/>
      <c r="D26" s="43" t="n"/>
      <c r="E26" s="43" t="n"/>
      <c r="F26" s="43" t="n"/>
      <c r="G26" s="48" t="inlineStr">
        <is>
          <t>Anytime</t>
        </is>
      </c>
      <c r="H26" s="43" t="n"/>
      <c r="I26" s="43" t="n"/>
      <c r="J26" s="53" t="inlineStr">
        <is>
          <t>pass_within_T, avg regressions, avg first pass turn</t>
        </is>
      </c>
      <c r="K26" s="43" t="n"/>
      <c r="L26" s="43" t="n"/>
    </row>
    <row r="27" ht="19.5" customHeight="1" s="40"/>
    <row r="28" ht="19.5" customHeight="1" s="40"/>
    <row r="29" ht="19.5" customHeight="1" s="40">
      <c r="A29" s="44" t="inlineStr">
        <is>
          <t>Color and label guide</t>
        </is>
      </c>
    </row>
    <row r="30" ht="27.75" customHeight="1" s="40">
      <c r="A30" s="46" t="inlineStr">
        <is>
          <t>Color</t>
        </is>
      </c>
      <c r="B30" s="45" t="inlineStr">
        <is>
          <t>Meaning</t>
        </is>
      </c>
      <c r="C30" s="43" t="n"/>
      <c r="D30" s="43" t="n"/>
      <c r="E30" s="43" t="n"/>
      <c r="F30" s="43" t="n"/>
      <c r="G30" s="43" t="n"/>
      <c r="H30" s="43" t="n"/>
      <c r="I30" s="43" t="n"/>
      <c r="J30" s="43" t="n"/>
      <c r="K30" s="43" t="n"/>
      <c r="L30" s="43" t="n"/>
    </row>
    <row r="31" ht="19.5" customHeight="1" s="40">
      <c r="A31" s="16" t="inlineStr">
        <is>
          <t>Green</t>
        </is>
      </c>
      <c r="B31" s="48" t="inlineStr">
        <is>
          <t>Pass / stable result / ready</t>
        </is>
      </c>
      <c r="C31" s="43" t="n"/>
      <c r="D31" s="43" t="n"/>
      <c r="E31" s="43" t="n"/>
      <c r="F31" s="43" t="n"/>
      <c r="G31" s="43" t="n"/>
      <c r="H31" s="43" t="n"/>
      <c r="I31" s="43" t="n"/>
      <c r="J31" s="43" t="n"/>
      <c r="K31" s="43" t="n"/>
      <c r="L31" s="43" t="n"/>
    </row>
    <row r="32" ht="19.5" customHeight="1" s="40">
      <c r="A32" s="17" t="inlineStr">
        <is>
          <t>Yellow</t>
        </is>
      </c>
      <c r="B32" s="48" t="inlineStr">
        <is>
          <t>WrongResult / review / needs analysis</t>
        </is>
      </c>
      <c r="C32" s="43" t="n"/>
      <c r="D32" s="43" t="n"/>
      <c r="E32" s="43" t="n"/>
      <c r="F32" s="43" t="n"/>
      <c r="G32" s="43" t="n"/>
      <c r="H32" s="43" t="n"/>
      <c r="I32" s="43" t="n"/>
      <c r="J32" s="43" t="n"/>
      <c r="K32" s="43" t="n"/>
      <c r="L32" s="43" t="n"/>
    </row>
    <row r="33" ht="19.5" customHeight="1" s="40">
      <c r="A33" s="18" t="inlineStr">
        <is>
          <t>Red</t>
        </is>
      </c>
      <c r="B33" s="48" t="inlineStr">
        <is>
          <t>Execution failure / regression / blocked</t>
        </is>
      </c>
      <c r="C33" s="43" t="n"/>
      <c r="D33" s="43" t="n"/>
      <c r="E33" s="43" t="n"/>
      <c r="F33" s="43" t="n"/>
      <c r="G33" s="43" t="n"/>
      <c r="H33" s="43" t="n"/>
      <c r="I33" s="43" t="n"/>
      <c r="J33" s="43" t="n"/>
      <c r="K33" s="43" t="n"/>
      <c r="L33" s="43" t="n"/>
    </row>
    <row r="34" ht="19.5" customHeight="1" s="40">
      <c r="A34" s="8" t="inlineStr">
        <is>
          <t>Blue</t>
        </is>
      </c>
      <c r="B34" s="48" t="inlineStr">
        <is>
          <t>Required user entry</t>
        </is>
      </c>
      <c r="C34" s="43" t="n"/>
      <c r="D34" s="43" t="n"/>
      <c r="E34" s="43" t="n"/>
      <c r="F34" s="43" t="n"/>
      <c r="G34" s="43" t="n"/>
      <c r="H34" s="43" t="n"/>
      <c r="I34" s="43" t="n"/>
      <c r="J34" s="43" t="n"/>
      <c r="K34" s="43" t="n"/>
      <c r="L34" s="43" t="n"/>
    </row>
    <row r="35" ht="19.5" customHeight="1" s="40">
      <c r="A35" s="19" t="inlineStr">
        <is>
          <t>Gray</t>
        </is>
      </c>
      <c r="B35" s="48" t="inlineStr">
        <is>
          <t>Reference or helper formula cells</t>
        </is>
      </c>
      <c r="C35" s="43" t="n"/>
      <c r="D35" s="43" t="n"/>
      <c r="E35" s="43" t="n"/>
      <c r="F35" s="43" t="n"/>
      <c r="G35" s="43" t="n"/>
      <c r="H35" s="43" t="n"/>
      <c r="I35" s="43" t="n"/>
      <c r="J35" s="43" t="n"/>
      <c r="K35" s="43" t="n"/>
      <c r="L35" s="43" t="n"/>
    </row>
    <row r="36" ht="19.5" customHeight="1" s="40">
      <c r="A36" s="20" t="inlineStr">
        <is>
          <t>Purple</t>
        </is>
      </c>
      <c r="B36" s="48" t="inlineStr">
        <is>
          <t>Protocol / control field</t>
        </is>
      </c>
      <c r="C36" s="43" t="n"/>
      <c r="D36" s="43" t="n"/>
      <c r="E36" s="43" t="n"/>
      <c r="F36" s="43" t="n"/>
      <c r="G36" s="43" t="n"/>
      <c r="H36" s="43" t="n"/>
      <c r="I36" s="43" t="n"/>
      <c r="J36" s="43" t="n"/>
      <c r="K36" s="43" t="n"/>
      <c r="L36" s="43" t="n"/>
    </row>
    <row r="37" ht="19.5" customHeight="1" s="40"/>
    <row r="38" ht="19.5" customHeight="1" s="40"/>
    <row r="39" ht="19.5" customHeight="1" s="40"/>
    <row r="40" ht="15.75" customHeight="1" s="40"/>
    <row r="41" ht="15.75" customHeight="1" s="40"/>
    <row r="42" ht="15.75" customHeight="1" s="40"/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mergeCells count="60">
    <mergeCell ref="B35:L35"/>
    <mergeCell ref="A16:L16"/>
    <mergeCell ref="J24:L24"/>
    <mergeCell ref="D13:L13"/>
    <mergeCell ref="D11:L11"/>
    <mergeCell ref="G19:I19"/>
    <mergeCell ref="B25:F25"/>
    <mergeCell ref="G18:I18"/>
    <mergeCell ref="B22:F22"/>
    <mergeCell ref="J20:L20"/>
    <mergeCell ref="J26:L26"/>
    <mergeCell ref="A12:C12"/>
    <mergeCell ref="B31:L31"/>
    <mergeCell ref="B18:F18"/>
    <mergeCell ref="D7:L7"/>
    <mergeCell ref="J25:L25"/>
    <mergeCell ref="G24:I24"/>
    <mergeCell ref="B21:F21"/>
    <mergeCell ref="J22:L22"/>
    <mergeCell ref="A8:C8"/>
    <mergeCell ref="A5:L5"/>
    <mergeCell ref="B32:L32"/>
    <mergeCell ref="B23:F23"/>
    <mergeCell ref="G26:I26"/>
    <mergeCell ref="A2:A3"/>
    <mergeCell ref="D9:L9"/>
    <mergeCell ref="D12:L12"/>
    <mergeCell ref="G20:I20"/>
    <mergeCell ref="D8:L8"/>
    <mergeCell ref="B17:F17"/>
    <mergeCell ref="J21:L21"/>
    <mergeCell ref="G25:I25"/>
    <mergeCell ref="A10:C10"/>
    <mergeCell ref="A29:L29"/>
    <mergeCell ref="A13:C13"/>
    <mergeCell ref="G22:I22"/>
    <mergeCell ref="J18:L18"/>
    <mergeCell ref="B19:F19"/>
    <mergeCell ref="J23:L23"/>
    <mergeCell ref="B34:L34"/>
    <mergeCell ref="A9:C9"/>
    <mergeCell ref="A14:H14"/>
    <mergeCell ref="J17:L17"/>
    <mergeCell ref="B26:F26"/>
    <mergeCell ref="G21:I21"/>
    <mergeCell ref="D10:L10"/>
    <mergeCell ref="A11:C11"/>
    <mergeCell ref="B24:F24"/>
    <mergeCell ref="B30:L30"/>
    <mergeCell ref="B20:F20"/>
    <mergeCell ref="J19:L19"/>
    <mergeCell ref="B33:L33"/>
    <mergeCell ref="A1:L1"/>
    <mergeCell ref="G23:I23"/>
    <mergeCell ref="A6:C6"/>
    <mergeCell ref="B2:L3"/>
    <mergeCell ref="G17:I17"/>
    <mergeCell ref="B36:L36"/>
    <mergeCell ref="A7:C7"/>
    <mergeCell ref="D6:L6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style="40" min="1" max="1"/>
    <col width="20" customWidth="1" style="40" min="5" max="5"/>
    <col width="16" customWidth="1" style="40" min="9" max="9"/>
    <col width="8.710000000000001" customWidth="1" style="40" min="13" max="13"/>
  </cols>
  <sheetData>
    <row r="1">
      <c r="A1" s="41" t="inlineStr">
        <is>
          <t>Data Entry Guide</t>
        </is>
      </c>
    </row>
    <row r="3">
      <c r="A3" s="46" t="inlineStr">
        <is>
          <t>Sheet</t>
        </is>
      </c>
      <c r="B3" s="46" t="inlineStr">
        <is>
          <t>Who fills it</t>
        </is>
      </c>
      <c r="C3" s="46" t="inlineStr">
        <is>
          <t>What to type</t>
        </is>
      </c>
      <c r="D3" s="46" t="inlineStr">
        <is>
          <t>What scripts can fill</t>
        </is>
      </c>
      <c r="E3" s="46" t="inlineStr">
        <is>
          <t>When to update</t>
        </is>
      </c>
      <c r="F3" s="46" t="inlineStr">
        <is>
          <t>Notes</t>
        </is>
      </c>
    </row>
    <row r="4">
      <c r="A4" s="47" t="inlineStr">
        <is>
          <t>Setup Checklist</t>
        </is>
      </c>
      <c r="B4" s="48" t="inlineStr">
        <is>
          <t>Manual</t>
        </is>
      </c>
      <c r="C4" s="48" t="inlineStr">
        <is>
          <t>Owner, status, evidence, checked-on date, notes</t>
        </is>
      </c>
      <c r="D4" s="49" t="inlineStr"/>
      <c r="E4" s="47" t="inlineStr">
        <is>
          <t>Before testing</t>
        </is>
      </c>
      <c r="F4" s="50" t="inlineStr">
        <is>
          <t>Use this as environment proof.</t>
        </is>
      </c>
    </row>
    <row r="5">
      <c r="A5" s="47" t="inlineStr">
        <is>
          <t>Lookups</t>
        </is>
      </c>
      <c r="B5" s="48" t="inlineStr">
        <is>
          <t>Manual (rare)</t>
        </is>
      </c>
      <c r="C5" s="48" t="inlineStr">
        <is>
          <t>Only change when model roster or protocol labels change</t>
        </is>
      </c>
      <c r="D5" s="49" t="inlineStr"/>
      <c r="E5" s="47" t="inlineStr">
        <is>
          <t>When models/protocols change</t>
        </is>
      </c>
      <c r="F5" s="50" t="inlineStr">
        <is>
          <t>Keep stable IDs here.</t>
        </is>
      </c>
    </row>
    <row r="6">
      <c r="A6" s="47" t="inlineStr">
        <is>
          <t>Prompt Library</t>
        </is>
      </c>
      <c r="B6" s="48" t="inlineStr">
        <is>
          <t>Manual</t>
        </is>
      </c>
      <c r="C6" s="48" t="inlineStr">
        <is>
          <t>Template versions and approved prompt text</t>
        </is>
      </c>
      <c r="D6" s="49" t="inlineStr"/>
      <c r="E6" s="47" t="inlineStr">
        <is>
          <t>Before pilot / after controlled version updates</t>
        </is>
      </c>
      <c r="F6" s="50" t="inlineStr">
        <is>
          <t>Do not silently edit during main runs.</t>
        </is>
      </c>
    </row>
    <row r="7">
      <c r="A7" s="47" t="inlineStr">
        <is>
          <t>Tasks</t>
        </is>
      </c>
      <c r="B7" s="48" t="inlineStr">
        <is>
          <t>Manual</t>
        </is>
      </c>
      <c r="C7" s="48" t="inlineStr">
        <is>
          <t>task_id, db_name, question, oracle file, difficulty, pilot/main flags</t>
        </is>
      </c>
      <c r="D7" s="49" t="inlineStr"/>
      <c r="E7" s="47" t="inlineStr">
        <is>
          <t>Before batch execution</t>
        </is>
      </c>
      <c r="F7" s="50" t="inlineStr">
        <is>
          <t>This is your fixed manifest.</t>
        </is>
      </c>
    </row>
    <row r="8">
      <c r="A8" s="47" t="inlineStr">
        <is>
          <t>Run Plan</t>
        </is>
      </c>
      <c r="B8" s="48" t="inlineStr">
        <is>
          <t>Manual or semi-manual</t>
        </is>
      </c>
      <c r="C8" s="48" t="inlineStr">
        <is>
          <t>run_id, model_id, protocol_id, replicate, operator, planned_date, artifact folder</t>
        </is>
      </c>
      <c r="D8" s="49" t="inlineStr">
        <is>
          <t>Sync script can backfill rows from logs</t>
        </is>
      </c>
      <c r="E8" s="47" t="inlineStr">
        <is>
          <t>Before each batch</t>
        </is>
      </c>
      <c r="F8" s="50" t="inlineStr">
        <is>
          <t>One row = one trajectory.</t>
        </is>
      </c>
    </row>
    <row r="9">
      <c r="A9" s="47" t="inlineStr">
        <is>
          <t>Turn Log</t>
        </is>
      </c>
      <c r="B9" s="48" t="inlineStr">
        <is>
          <t>Mixed</t>
        </is>
      </c>
      <c r="C9" s="48" t="inlineStr">
        <is>
          <t>review notes and review_flag</t>
        </is>
      </c>
      <c r="D9" s="49" t="inlineStr">
        <is>
          <t>Runner + sync script fill prompt paths, response paths, SQL, runtime, state, pass flag</t>
        </is>
      </c>
      <c r="E9" s="47" t="inlineStr">
        <is>
          <t>Immediately after each run or batch sync</t>
        </is>
      </c>
      <c r="F9" s="50" t="inlineStr">
        <is>
          <t>Main evidence sheet.</t>
        </is>
      </c>
    </row>
    <row r="10">
      <c r="A10" s="47" t="inlineStr">
        <is>
          <t>Run Summary</t>
        </is>
      </c>
      <c r="B10" s="48" t="inlineStr">
        <is>
          <t>Formula-driven</t>
        </is>
      </c>
      <c r="C10" s="48" t="inlineStr">
        <is>
          <t>analyst_note only</t>
        </is>
      </c>
      <c r="D10" s="49" t="inlineStr"/>
      <c r="E10" s="47" t="inlineStr">
        <is>
          <t>After sync</t>
        </is>
      </c>
      <c r="F10" s="50" t="inlineStr">
        <is>
          <t>Use for paper tables.</t>
        </is>
      </c>
    </row>
    <row r="11">
      <c r="A11" s="47" t="inlineStr">
        <is>
          <t>Stability Checks</t>
        </is>
      </c>
      <c r="B11" s="48" t="inlineStr">
        <is>
          <t>Mixed</t>
        </is>
      </c>
      <c r="C11" s="48" t="inlineStr">
        <is>
          <t>notes for re-prompt tests</t>
        </is>
      </c>
      <c r="D11" s="49" t="inlineStr">
        <is>
          <t>Re-execution checks can be machine-filled</t>
        </is>
      </c>
      <c r="E11" s="47" t="inlineStr">
        <is>
          <t>Only after first Pass</t>
        </is>
      </c>
      <c r="F11" s="50" t="inlineStr">
        <is>
          <t>Re-prompt is still partly manual.</t>
        </is>
      </c>
    </row>
    <row r="12">
      <c r="A12" s="47" t="inlineStr">
        <is>
          <t>Dashboard</t>
        </is>
      </c>
      <c r="B12" s="48" t="inlineStr">
        <is>
          <t>Formula-driven</t>
        </is>
      </c>
      <c r="C12" s="48" t="inlineStr">
        <is>
          <t>Do not type into KPI cells</t>
        </is>
      </c>
      <c r="D12" s="49" t="inlineStr"/>
      <c r="E12" s="47" t="inlineStr">
        <is>
          <t>After sync</t>
        </is>
      </c>
      <c r="F12" s="50" t="inlineStr">
        <is>
          <t>Snapshot for progress reporting.</t>
        </is>
      </c>
    </row>
    <row r="15">
      <c r="A15" s="44" t="inlineStr">
        <is>
          <t>Minimum fields that should exist for every run</t>
        </is>
      </c>
    </row>
    <row r="16">
      <c r="A16" s="47" t="inlineStr">
        <is>
          <t>task_id</t>
        </is>
      </c>
      <c r="B16" s="48" t="inlineStr">
        <is>
          <t>Required</t>
        </is>
      </c>
    </row>
    <row r="17">
      <c r="A17" s="47" t="inlineStr">
        <is>
          <t>db_name</t>
        </is>
      </c>
      <c r="B17" s="48" t="inlineStr">
        <is>
          <t>Required</t>
        </is>
      </c>
    </row>
    <row r="18">
      <c r="A18" s="47" t="inlineStr">
        <is>
          <t>model_id / model_snapshot</t>
        </is>
      </c>
      <c r="B18" s="48" t="inlineStr">
        <is>
          <t>Required</t>
        </is>
      </c>
    </row>
    <row r="19">
      <c r="A19" s="47" t="inlineStr">
        <is>
          <t>protocol_id</t>
        </is>
      </c>
      <c r="B19" s="48" t="inlineStr">
        <is>
          <t>Required</t>
        </is>
      </c>
    </row>
    <row r="20">
      <c r="A20" s="47" t="inlineStr">
        <is>
          <t>replicate</t>
        </is>
      </c>
      <c r="B20" s="48" t="inlineStr">
        <is>
          <t>Required</t>
        </is>
      </c>
    </row>
    <row r="21">
      <c r="A21" s="47" t="inlineStr">
        <is>
          <t>turn_no</t>
        </is>
      </c>
      <c r="B21" s="48" t="inlineStr">
        <is>
          <t>Required</t>
        </is>
      </c>
    </row>
    <row r="22">
      <c r="A22" s="47" t="inlineStr">
        <is>
          <t>prompt_file</t>
        </is>
      </c>
      <c r="B22" s="48" t="inlineStr">
        <is>
          <t>Required</t>
        </is>
      </c>
    </row>
    <row r="23">
      <c r="A23" s="47" t="inlineStr">
        <is>
          <t>response_file</t>
        </is>
      </c>
      <c r="B23" s="48" t="inlineStr">
        <is>
          <t>Required</t>
        </is>
      </c>
    </row>
    <row r="24">
      <c r="A24" s="47" t="inlineStr">
        <is>
          <t>extracted_sql_file</t>
        </is>
      </c>
      <c r="B24" s="48" t="inlineStr">
        <is>
          <t>Required</t>
        </is>
      </c>
    </row>
    <row r="25">
      <c r="A25" s="47" t="inlineStr">
        <is>
          <t>exec_state</t>
        </is>
      </c>
      <c r="B25" s="48" t="inlineStr">
        <is>
          <t>Required</t>
        </is>
      </c>
    </row>
    <row r="26">
      <c r="A26" s="47" t="inlineStr">
        <is>
          <t>exec_ms</t>
        </is>
      </c>
      <c r="B26" s="48" t="inlineStr">
        <is>
          <t>Required</t>
        </is>
      </c>
    </row>
    <row r="27">
      <c r="A27" s="47" t="inlineStr">
        <is>
          <t>rows_pred</t>
        </is>
      </c>
      <c r="B27" s="48" t="inlineStr">
        <is>
          <t>Required</t>
        </is>
      </c>
    </row>
    <row r="28">
      <c r="A28" s="47" t="inlineStr">
        <is>
          <t>rows_gold</t>
        </is>
      </c>
      <c r="B28" s="48" t="inlineStr">
        <is>
          <t>Required</t>
        </is>
      </c>
    </row>
    <row r="29">
      <c r="A29" s="47" t="inlineStr">
        <is>
          <t>symdiff_rows</t>
        </is>
      </c>
      <c r="B29" s="48" t="inlineStr">
        <is>
          <t>Required</t>
        </is>
      </c>
    </row>
    <row r="30">
      <c r="A30" s="47" t="inlineStr">
        <is>
          <t>sqlite_error</t>
        </is>
      </c>
      <c r="B30" s="48" t="inlineStr">
        <is>
          <t>Required</t>
        </is>
      </c>
    </row>
    <row r="31">
      <c r="A31" s="47" t="inlineStr">
        <is>
          <t>pass_flag</t>
        </is>
      </c>
      <c r="B31" s="48" t="inlineStr">
        <is>
          <t>Required</t>
        </is>
      </c>
    </row>
  </sheetData>
  <mergeCells count="2">
    <mergeCell ref="A15:F15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6" customWidth="1" style="40" min="1" max="1"/>
    <col width="28" customWidth="1" style="40" min="2" max="2"/>
    <col width="32" customWidth="1" style="40" min="3" max="3"/>
    <col width="14" customWidth="1" style="40" min="4" max="5"/>
    <col width="34" customWidth="1" style="40" min="6" max="6"/>
    <col width="14" customWidth="1" style="40" min="7" max="7"/>
    <col width="34" customWidth="1" style="40" min="8" max="8"/>
    <col width="8.710000000000001" customWidth="1" style="40" min="9" max="26"/>
  </cols>
  <sheetData>
    <row r="1" ht="24" customHeight="1" s="40">
      <c r="A1" s="51" t="inlineStr">
        <is>
          <t>Setup Checklist</t>
        </is>
      </c>
    </row>
    <row r="3" ht="27.75" customHeight="1" s="40">
      <c r="A3" s="46" t="inlineStr">
        <is>
          <t>#</t>
        </is>
      </c>
      <c r="B3" s="46" t="inlineStr">
        <is>
          <t>Checklist item</t>
        </is>
      </c>
      <c r="C3" s="46" t="inlineStr">
        <is>
          <t>Why it matters</t>
        </is>
      </c>
      <c r="D3" s="46" t="inlineStr">
        <is>
          <t>Owner</t>
        </is>
      </c>
      <c r="E3" s="46" t="inlineStr">
        <is>
          <t>Status</t>
        </is>
      </c>
      <c r="F3" s="46" t="inlineStr">
        <is>
          <t>Evidence / path / screenshot</t>
        </is>
      </c>
      <c r="G3" s="46" t="inlineStr">
        <is>
          <t>Checked on</t>
        </is>
      </c>
      <c r="H3" s="46" t="inlineStr">
        <is>
          <t>Notes</t>
        </is>
      </c>
    </row>
    <row r="4">
      <c r="A4" s="47" t="inlineStr">
        <is>
          <t>1</t>
        </is>
      </c>
      <c r="B4" s="48" t="inlineStr">
        <is>
          <t>Clone Spider2 repo</t>
        </is>
      </c>
      <c r="C4" s="48" t="inlineStr">
        <is>
          <t>Ensures everyone uses the same dataset and evaluation files.</t>
        </is>
      </c>
      <c r="D4" s="49" t="n"/>
      <c r="E4" s="47" t="inlineStr">
        <is>
          <t>Not started</t>
        </is>
      </c>
      <c r="F4" s="50" t="n"/>
      <c r="G4" s="49" t="n"/>
      <c r="H4" s="50" t="n"/>
    </row>
    <row r="5">
      <c r="A5" s="47" t="inlineStr">
        <is>
          <t>2</t>
        </is>
      </c>
      <c r="B5" s="48" t="inlineStr">
        <is>
          <t>Download local SQLite bundle</t>
        </is>
      </c>
      <c r="C5" s="48" t="inlineStr">
        <is>
          <t>Needed for local Spider2-Lite tasks.</t>
        </is>
      </c>
      <c r="D5" s="49" t="n"/>
      <c r="E5" s="47" t="inlineStr">
        <is>
          <t>Not started</t>
        </is>
      </c>
      <c r="F5" s="50" t="n"/>
      <c r="G5" s="49" t="n"/>
      <c r="H5" s="50" t="n"/>
    </row>
    <row r="6">
      <c r="A6" s="47" t="inlineStr">
        <is>
          <t>3</t>
        </is>
      </c>
      <c r="B6" s="48" t="inlineStr">
        <is>
          <t>Verify sqlite-sakila opens</t>
        </is>
      </c>
      <c r="C6" s="48" t="inlineStr">
        <is>
          <t>Confirms sqlite3 and the database path work before model testing.</t>
        </is>
      </c>
      <c r="D6" s="49" t="n"/>
      <c r="E6" s="47" t="inlineStr">
        <is>
          <t>Not started</t>
        </is>
      </c>
      <c r="F6" s="50" t="n"/>
      <c r="G6" s="49" t="n"/>
      <c r="H6" s="50" t="n"/>
    </row>
    <row r="7">
      <c r="A7" s="47" t="inlineStr">
        <is>
          <t>4</t>
        </is>
      </c>
      <c r="B7" s="48" t="inlineStr">
        <is>
          <t>Create Python virtual environment</t>
        </is>
      </c>
      <c r="C7" s="48" t="inlineStr">
        <is>
          <t>Keeps dependencies clean and reproducible.</t>
        </is>
      </c>
      <c r="D7" s="49" t="n"/>
      <c r="E7" s="47" t="inlineStr">
        <is>
          <t>Not started</t>
        </is>
      </c>
      <c r="F7" s="50" t="n"/>
      <c r="G7" s="49" t="n"/>
      <c r="H7" s="50" t="n"/>
    </row>
    <row r="8">
      <c r="A8" s="47" t="inlineStr">
        <is>
          <t>5</t>
        </is>
      </c>
      <c r="B8" s="48" t="inlineStr">
        <is>
          <t>Confirm API keys / model access</t>
        </is>
      </c>
      <c r="C8" s="48" t="inlineStr">
        <is>
          <t>Avoids failed recordings due to missing credentials.</t>
        </is>
      </c>
      <c r="D8" s="49" t="n"/>
      <c r="E8" s="47" t="inlineStr">
        <is>
          <t>Not started</t>
        </is>
      </c>
      <c r="F8" s="50" t="n"/>
      <c r="G8" s="49" t="n"/>
      <c r="H8" s="50" t="n"/>
    </row>
    <row r="9">
      <c r="A9" s="47" t="inlineStr">
        <is>
          <t>6</t>
        </is>
      </c>
      <c r="B9" s="48" t="inlineStr">
        <is>
          <t>Extract one schema dump successfully</t>
        </is>
      </c>
      <c r="C9" s="48" t="inlineStr">
        <is>
          <t>Needed for consistent prompt construction.</t>
        </is>
      </c>
      <c r="D9" s="49" t="n"/>
      <c r="E9" s="47" t="inlineStr">
        <is>
          <t>Not started</t>
        </is>
      </c>
      <c r="F9" s="50" t="n"/>
      <c r="G9" s="49" t="n"/>
      <c r="H9" s="50" t="n"/>
    </row>
    <row r="10">
      <c r="A10" s="47" t="inlineStr">
        <is>
          <t>7</t>
        </is>
      </c>
      <c r="B10" s="48" t="inlineStr">
        <is>
          <t>Create pilot task manifest</t>
        </is>
      </c>
      <c r="C10" s="48" t="inlineStr">
        <is>
          <t>Locks the exact tasks used for the recorded pilot.</t>
        </is>
      </c>
      <c r="D10" s="49" t="n"/>
      <c r="E10" s="47" t="inlineStr">
        <is>
          <t>Not started</t>
        </is>
      </c>
      <c r="F10" s="50" t="n"/>
      <c r="G10" s="49" t="n"/>
      <c r="H10" s="50" t="n"/>
    </row>
    <row r="11">
      <c r="A11" s="47" t="inlineStr">
        <is>
          <t>8</t>
        </is>
      </c>
      <c r="B11" s="48" t="inlineStr">
        <is>
          <t>Test OBS or Loom recording workflow</t>
        </is>
      </c>
      <c r="C11" s="48" t="inlineStr">
        <is>
          <t>Prevents losing an experiment due to recording setup.</t>
        </is>
      </c>
      <c r="D11" s="49" t="n"/>
      <c r="E11" s="47" t="inlineStr">
        <is>
          <t>Not started</t>
        </is>
      </c>
      <c r="F11" s="50" t="n"/>
      <c r="G11" s="49" t="n"/>
      <c r="H11" s="50" t="n"/>
    </row>
    <row r="12">
      <c r="A12" s="47" t="inlineStr">
        <is>
          <t>9</t>
        </is>
      </c>
      <c r="B12" s="48" t="inlineStr">
        <is>
          <t>Dry-run one 2-turn trajectory</t>
        </is>
      </c>
      <c r="C12" s="48" t="inlineStr">
        <is>
          <t>Confirms prompts, execution, and logging all work together.</t>
        </is>
      </c>
      <c r="D12" s="49" t="n"/>
      <c r="E12" s="47" t="inlineStr">
        <is>
          <t>Not started</t>
        </is>
      </c>
      <c r="F12" s="50" t="n"/>
      <c r="G12" s="49" t="n"/>
      <c r="H12" s="50" t="n"/>
    </row>
    <row r="21" ht="15.75" customHeight="1" s="40"/>
    <row r="22" ht="15.75" customHeight="1" s="40"/>
    <row r="23" ht="15.75" customHeight="1" s="40"/>
    <row r="24" ht="15.75" customHeight="1" s="40"/>
    <row r="25" ht="15.75" customHeight="1" s="40"/>
    <row r="26" ht="15.75" customHeight="1" s="40"/>
    <row r="27" ht="15.75" customHeight="1" s="40"/>
    <row r="28" ht="15.75" customHeight="1" s="40"/>
    <row r="29" ht="15.75" customHeight="1" s="40"/>
    <row r="30" ht="15.75" customHeight="1" s="40"/>
    <row r="31" ht="15.75" customHeight="1" s="40"/>
    <row r="32" ht="15.75" customHeight="1" s="40"/>
    <row r="33" ht="15.75" customHeight="1" s="40"/>
    <row r="34" ht="15.75" customHeight="1" s="40"/>
    <row r="35" ht="15.75" customHeight="1" s="40"/>
    <row r="36" ht="15.75" customHeight="1" s="40"/>
    <row r="37" ht="15.75" customHeight="1" s="40"/>
    <row r="38" ht="15.75" customHeight="1" s="40"/>
    <row r="39" ht="15.75" customHeight="1" s="40"/>
    <row r="40" ht="15.75" customHeight="1" s="40"/>
    <row r="41" ht="15.75" customHeight="1" s="40"/>
    <row r="42" ht="15.75" customHeight="1" s="40"/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autoFilter ref="$A$3:$H$200"/>
  <mergeCells count="1">
    <mergeCell ref="A1:H1"/>
  </mergeCells>
  <conditionalFormatting sqref="A4:H200">
    <cfRule type="expression" priority="1" dxfId="0">
      <formula>$E4="Complete"</formula>
    </cfRule>
    <cfRule type="expression" priority="2" dxfId="1">
      <formula>$E4="Ready"</formula>
    </cfRule>
    <cfRule type="expression" priority="3" dxfId="2">
      <formula>$E4="Blocked"</formula>
    </cfRule>
    <cfRule type="expression" priority="4" dxfId="3">
      <formula>$E4="In progress"</formula>
    </cfRule>
  </conditionalFormatting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selection activeCell="A1" sqref="A1"/>
    </sheetView>
  </sheetViews>
  <sheetFormatPr baseColWidth="8" defaultColWidth="14.43" defaultRowHeight="15" customHeight="1"/>
  <cols>
    <col width="18" customWidth="1" style="40" min="1" max="1"/>
    <col width="10" customWidth="1" style="40" min="2" max="2"/>
    <col width="8.710000000000001" customWidth="1" style="40" min="3" max="3"/>
    <col width="12" customWidth="1" style="40" min="4" max="4"/>
    <col width="42" customWidth="1" style="40" min="5" max="5"/>
    <col width="8.710000000000001" customWidth="1" style="40" min="6" max="6"/>
    <col width="24" customWidth="1" style="40" min="7" max="7"/>
    <col width="16" customWidth="1" style="40" min="8" max="8"/>
    <col width="8.710000000000001" customWidth="1" style="40" min="9" max="9"/>
    <col width="16" customWidth="1" style="40" min="10" max="10"/>
    <col width="8.710000000000001" customWidth="1" style="40" min="11" max="11"/>
    <col width="8" customWidth="1" style="40" min="12" max="12"/>
    <col width="8.710000000000001" customWidth="1" style="40" min="13" max="13"/>
    <col width="16" customWidth="1" style="40" min="14" max="14"/>
    <col width="8.710000000000001" customWidth="1" style="40" min="15" max="26"/>
  </cols>
  <sheetData>
    <row r="1">
      <c r="A1" s="52" t="inlineStr">
        <is>
          <t>exec_state</t>
        </is>
      </c>
      <c r="B1" s="52" t="inlineStr">
        <is>
          <t>severity</t>
        </is>
      </c>
      <c r="D1" s="52" t="inlineStr">
        <is>
          <t>protocol_id</t>
        </is>
      </c>
      <c r="E1" s="52" t="inlineStr">
        <is>
          <t>description</t>
        </is>
      </c>
      <c r="G1" s="52" t="inlineStr">
        <is>
          <t>model_id</t>
        </is>
      </c>
      <c r="H1" s="52" t="inlineStr">
        <is>
          <t>provider</t>
        </is>
      </c>
      <c r="I1" s="52" t="inlineStr">
        <is>
          <t>recommended_use</t>
        </is>
      </c>
      <c r="J1" s="52" t="inlineStr">
        <is>
          <t>status</t>
        </is>
      </c>
      <c r="L1" s="52" t="inlineStr">
        <is>
          <t>yes_no</t>
        </is>
      </c>
      <c r="N1" s="52" t="inlineStr">
        <is>
          <t>owners</t>
        </is>
      </c>
    </row>
    <row r="2">
      <c r="A2" s="53" t="inlineStr">
        <is>
          <t>Pass</t>
        </is>
      </c>
      <c r="B2" s="56" t="n">
        <v>0</v>
      </c>
      <c r="D2" s="26" t="inlineStr">
        <is>
          <t>F0</t>
        </is>
      </c>
      <c r="E2" s="48" t="inlineStr">
        <is>
          <t>Minimal: PASS/FAIL only</t>
        </is>
      </c>
      <c r="G2" s="50" t="inlineStr">
        <is>
          <t>gpt-5.1</t>
        </is>
      </c>
      <c r="H2" s="48" t="inlineStr">
        <is>
          <t>OpenAI</t>
        </is>
      </c>
      <c r="I2" s="0" t="inlineStr">
        <is>
          <t>Primary</t>
        </is>
      </c>
      <c r="J2" s="53" t="inlineStr">
        <is>
          <t>Ready</t>
        </is>
      </c>
      <c r="L2" s="53" t="inlineStr">
        <is>
          <t>Yes</t>
        </is>
      </c>
      <c r="N2" s="53" t="inlineStr">
        <is>
          <t>Lead</t>
        </is>
      </c>
    </row>
    <row r="3">
      <c r="A3" s="53" t="inlineStr">
        <is>
          <t>WrongResult</t>
        </is>
      </c>
      <c r="B3" s="56" t="n">
        <v>1</v>
      </c>
      <c r="D3" s="26" t="inlineStr">
        <is>
          <t>F1</t>
        </is>
      </c>
      <c r="E3" s="48" t="inlineStr">
        <is>
          <t>EngineError: include SQLite error text</t>
        </is>
      </c>
      <c r="G3" s="50" t="inlineStr">
        <is>
          <t>gpt-5-mini</t>
        </is>
      </c>
      <c r="H3" s="48" t="inlineStr">
        <is>
          <t>OpenAI</t>
        </is>
      </c>
      <c r="I3" s="0" t="inlineStr">
        <is>
          <t>Budget</t>
        </is>
      </c>
      <c r="J3" s="53" t="inlineStr">
        <is>
          <t>Ready</t>
        </is>
      </c>
      <c r="L3" s="53" t="inlineStr">
        <is>
          <t>No</t>
        </is>
      </c>
      <c r="N3" s="53" t="inlineStr">
        <is>
          <t>Recorder</t>
        </is>
      </c>
    </row>
    <row r="4">
      <c r="A4" s="53" t="inlineStr">
        <is>
          <t>RuntimeError</t>
        </is>
      </c>
      <c r="B4" s="56" t="n">
        <v>2</v>
      </c>
      <c r="D4" s="26" t="inlineStr">
        <is>
          <t>F2</t>
        </is>
      </c>
      <c r="E4" s="48" t="inlineStr">
        <is>
          <t>OutputDiff: include row counts and sample differences</t>
        </is>
      </c>
      <c r="G4" s="50" t="inlineStr">
        <is>
          <t>gpt-5.1-chat-latest</t>
        </is>
      </c>
      <c r="H4" s="48" t="inlineStr">
        <is>
          <t>OpenAI</t>
        </is>
      </c>
      <c r="I4" s="0" t="inlineStr">
        <is>
          <t>Web/API alias</t>
        </is>
      </c>
      <c r="J4" s="53" t="inlineStr">
        <is>
          <t>Ready</t>
        </is>
      </c>
      <c r="N4" s="53" t="inlineStr">
        <is>
          <t>Runner</t>
        </is>
      </c>
    </row>
    <row r="5">
      <c r="A5" s="53" t="inlineStr">
        <is>
          <t>SchemaError</t>
        </is>
      </c>
      <c r="B5" s="56" t="n">
        <v>3</v>
      </c>
      <c r="D5" s="26" t="inlineStr">
        <is>
          <t>F3</t>
        </is>
      </c>
      <c r="E5" s="48" t="inlineStr">
        <is>
          <t>SelfDebug: ask for brief diagnosis before revised SQL</t>
        </is>
      </c>
      <c r="G5" s="50" t="inlineStr">
        <is>
          <t>gemini-2.5-pro</t>
        </is>
      </c>
      <c r="H5" s="48" t="inlineStr">
        <is>
          <t>Google</t>
        </is>
      </c>
      <c r="I5" s="0" t="inlineStr">
        <is>
          <t>Primary</t>
        </is>
      </c>
      <c r="J5" s="53" t="inlineStr">
        <is>
          <t>Ready</t>
        </is>
      </c>
      <c r="N5" s="53" t="inlineStr">
        <is>
          <t>Reviewer</t>
        </is>
      </c>
    </row>
    <row r="6">
      <c r="A6" s="53" t="inlineStr">
        <is>
          <t>SyntaxError</t>
        </is>
      </c>
      <c r="B6" s="56" t="n">
        <v>4</v>
      </c>
      <c r="G6" s="50" t="inlineStr">
        <is>
          <t>gemini-2.5-flash-lite</t>
        </is>
      </c>
      <c r="H6" s="48" t="inlineStr">
        <is>
          <t>Google</t>
        </is>
      </c>
      <c r="I6" s="0" t="inlineStr">
        <is>
          <t>Budget</t>
        </is>
      </c>
      <c r="J6" s="53" t="inlineStr">
        <is>
          <t>Ready</t>
        </is>
      </c>
    </row>
    <row r="7">
      <c r="A7" s="53" t="inlineStr">
        <is>
          <t>Timeout</t>
        </is>
      </c>
      <c r="B7" s="56" t="n">
        <v>5</v>
      </c>
      <c r="G7" s="50" t="inlineStr">
        <is>
          <t>deepseek-reasoner</t>
        </is>
      </c>
      <c r="H7" s="48" t="inlineStr">
        <is>
          <t>DeepSeek</t>
        </is>
      </c>
      <c r="I7" s="0" t="inlineStr">
        <is>
          <t>Primary</t>
        </is>
      </c>
      <c r="J7" s="53" t="inlineStr">
        <is>
          <t>Ready</t>
        </is>
      </c>
    </row>
    <row r="8">
      <c r="A8" s="53" t="inlineStr">
        <is>
          <t>FormatError</t>
        </is>
      </c>
      <c r="B8" s="56" t="n">
        <v>6</v>
      </c>
      <c r="G8" s="50" t="inlineStr">
        <is>
          <t>deepseek-chat</t>
        </is>
      </c>
      <c r="H8" s="48" t="inlineStr">
        <is>
          <t>DeepSeek</t>
        </is>
      </c>
      <c r="I8" s="0" t="inlineStr">
        <is>
          <t>Budget</t>
        </is>
      </c>
      <c r="J8" s="53" t="inlineStr">
        <is>
          <t>Ready</t>
        </is>
      </c>
    </row>
    <row r="9">
      <c r="G9" s="50" t="n"/>
      <c r="H9" s="48" t="n"/>
      <c r="J9" s="53" t="n"/>
    </row>
    <row r="10">
      <c r="G10" s="50" t="n"/>
      <c r="H10" s="48" t="n"/>
      <c r="J10" s="53" t="n"/>
    </row>
    <row r="11">
      <c r="G11" s="50" t="n"/>
      <c r="H11" s="48" t="n"/>
      <c r="J11" s="53" t="n"/>
    </row>
    <row r="12">
      <c r="G12" s="50" t="n"/>
      <c r="H12" s="48" t="n"/>
      <c r="J12" s="53" t="n"/>
    </row>
    <row r="13">
      <c r="G13" s="50" t="n"/>
      <c r="H13" s="48" t="n"/>
      <c r="J13" s="53" t="n"/>
    </row>
    <row r="14">
      <c r="G14" s="50" t="n"/>
      <c r="H14" s="48" t="n"/>
      <c r="J14" s="53" t="n"/>
    </row>
    <row r="21" ht="15.75" customHeight="1" s="40"/>
    <row r="22" ht="15.75" customHeight="1" s="40"/>
    <row r="23" ht="15.75" customHeight="1" s="40"/>
    <row r="24" ht="15.75" customHeight="1" s="40"/>
    <row r="25" ht="15.75" customHeight="1" s="40"/>
    <row r="26" ht="15.75" customHeight="1" s="40"/>
    <row r="27" ht="15.75" customHeight="1" s="40"/>
    <row r="28" ht="15.75" customHeight="1" s="40"/>
    <row r="29" ht="15.75" customHeight="1" s="40"/>
    <row r="30" ht="15.75" customHeight="1" s="40"/>
    <row r="31" ht="15.75" customHeight="1" s="40"/>
    <row r="32" ht="15.75" customHeight="1" s="40"/>
    <row r="33" ht="15.75" customHeight="1" s="40"/>
    <row r="34" ht="15.75" customHeight="1" s="40"/>
    <row r="35" ht="15.75" customHeight="1" s="40"/>
    <row r="36" ht="15.75" customHeight="1" s="40"/>
    <row r="37" ht="15.75" customHeight="1" s="40"/>
    <row r="38" ht="15.75" customHeight="1" s="40"/>
    <row r="39" ht="15.75" customHeight="1" s="40"/>
    <row r="40" ht="15.75" customHeight="1" s="40"/>
    <row r="41" ht="15.75" customHeight="1" s="40"/>
    <row r="42" ht="15.75" customHeight="1" s="40"/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4" customWidth="1" style="40" min="1" max="1"/>
    <col width="18" customWidth="1" style="40" min="2" max="2"/>
    <col width="22" customWidth="1" style="40" min="3" max="3"/>
    <col width="90" customWidth="1" style="40" min="4" max="4"/>
    <col width="26" customWidth="1" style="40" min="5" max="5"/>
    <col width="28" customWidth="1" style="40" min="6" max="6"/>
    <col width="8.710000000000001" customWidth="1" style="40" min="7" max="26"/>
  </cols>
  <sheetData>
    <row r="1" ht="24" customHeight="1" s="40">
      <c r="A1" s="51" t="inlineStr">
        <is>
          <t>Prompt Library</t>
        </is>
      </c>
    </row>
    <row r="2">
      <c r="A2" s="53" t="inlineStr">
        <is>
          <t>Keep the approved prompt templates here. Change them deliberately and version them so your experiment remains traceable.</t>
        </is>
      </c>
      <c r="B2" s="43" t="n"/>
      <c r="C2" s="43" t="n"/>
      <c r="D2" s="43" t="n"/>
      <c r="E2" s="43" t="n"/>
      <c r="F2" s="43" t="n"/>
    </row>
    <row r="4" ht="27.75" customHeight="1" s="40">
      <c r="A4" s="46" t="inlineStr">
        <is>
          <t>template_id</t>
        </is>
      </c>
      <c r="B4" s="46" t="inlineStr">
        <is>
          <t>used_when</t>
        </is>
      </c>
      <c r="C4" s="46" t="inlineStr">
        <is>
          <t>version</t>
        </is>
      </c>
      <c r="D4" s="46" t="inlineStr">
        <is>
          <t>template_text</t>
        </is>
      </c>
      <c r="E4" s="46" t="inlineStr">
        <is>
          <t>required_variables</t>
        </is>
      </c>
      <c r="F4" s="46" t="inlineStr">
        <is>
          <t>notes</t>
        </is>
      </c>
    </row>
    <row r="5">
      <c r="A5" s="54" t="inlineStr">
        <is>
          <t>T1_SQL</t>
        </is>
      </c>
      <c r="B5" s="47" t="inlineStr">
        <is>
          <t>Turn 1 / initial generation</t>
        </is>
      </c>
      <c r="C5" s="47" t="inlineStr">
        <is>
          <t>v1</t>
        </is>
      </c>
      <c r="D5" s="50" t="inlineStr">
        <is>
          <t>You are a data analyst. Produce a single SQLite-compatible SQL query that answers the question.
Rules:
- Output ONLY the SQL query inside one ```sql``` code block.
- Do not include explanations.
- Use only tables/columns that exist in the provided schema.
Database: {db_name}
Dialect: SQLite
Schema:
{schema_dump}
Question:
{question}
Return ONE SQL query only.</t>
        </is>
      </c>
      <c r="E5" s="50" t="inlineStr">
        <is>
          <t>{db_name}, {schema_dump}, {question}</t>
        </is>
      </c>
      <c r="F5" s="50" t="inlineStr">
        <is>
          <t>Use this prompt for all models at turn 1.</t>
        </is>
      </c>
    </row>
    <row r="6">
      <c r="A6" s="54" t="inlineStr">
        <is>
          <t>REV_F0</t>
        </is>
      </c>
      <c r="B6" s="47" t="inlineStr">
        <is>
          <t>Turn k / Minimal feedback</t>
        </is>
      </c>
      <c r="C6" s="47" t="inlineStr">
        <is>
          <t>v1</t>
        </is>
      </c>
      <c r="D6" s="50" t="inlineStr">
        <is>
          <t>Previous SQL:
```sql
{previous_sql}
```
Feedback:
Result: FAIL.
Revise the SQL to correctly answer the question. Return ONE SQL query only in a ```sql``` block.</t>
        </is>
      </c>
      <c r="E6" s="50" t="inlineStr">
        <is>
          <t>{previous_sql}</t>
        </is>
      </c>
      <c r="F6" s="50" t="inlineStr">
        <is>
          <t>Use when protocol_id = F0</t>
        </is>
      </c>
    </row>
    <row r="7">
      <c r="A7" s="54" t="inlineStr">
        <is>
          <t>REV_F1</t>
        </is>
      </c>
      <c r="B7" s="47" t="inlineStr">
        <is>
          <t>Turn k / Engine error</t>
        </is>
      </c>
      <c r="C7" s="47" t="inlineStr">
        <is>
          <t>v1</t>
        </is>
      </c>
      <c r="D7" s="50" t="inlineStr">
        <is>
          <t>Previous SQL:
```sql
{previous_sql}
```
Feedback:
SQLite error: {sqlite_error}
Revise the SQL to be valid SQLite and correctly answer the question. Return ONE SQL query only.</t>
        </is>
      </c>
      <c r="E7" s="50" t="inlineStr">
        <is>
          <t>{previous_sql}, {sqlite_error}</t>
        </is>
      </c>
      <c r="F7" s="50" t="inlineStr">
        <is>
          <t>Use when protocol_id = F1</t>
        </is>
      </c>
    </row>
    <row r="8">
      <c r="A8" s="54" t="inlineStr">
        <is>
          <t>REV_F2</t>
        </is>
      </c>
      <c r="B8" s="47" t="inlineStr">
        <is>
          <t>Turn k / Output diff</t>
        </is>
      </c>
      <c r="C8" s="47" t="inlineStr">
        <is>
          <t>v1</t>
        </is>
      </c>
      <c r="D8" s="50" t="inlineStr">
        <is>
          <t>Previous SQL:
```sql
{previous_sql}
```
Feedback:
The query executed but the output is incorrect.
Gold row_count = {rows_gold}
Pred row_count = {rows_pred}
Gold sample rows = {gold_sample}
Pred sample rows = {pred_sample}
Revise the SQL. Return ONE SQL query only.</t>
        </is>
      </c>
      <c r="E8" s="50" t="inlineStr">
        <is>
          <t>{previous_sql}, {rows_gold}, {rows_pred}, {gold_sample}, {pred_sample}</t>
        </is>
      </c>
      <c r="F8" s="50" t="inlineStr">
        <is>
          <t>Use when protocol_id = F2</t>
        </is>
      </c>
    </row>
    <row r="9">
      <c r="A9" s="54" t="inlineStr">
        <is>
          <t>REV_F3</t>
        </is>
      </c>
      <c r="B9" s="47" t="inlineStr">
        <is>
          <t>Turn k / Self-debug diagnosis</t>
        </is>
      </c>
      <c r="C9" s="47" t="inlineStr">
        <is>
          <t>v1</t>
        </is>
      </c>
      <c r="D9" s="50" t="inlineStr">
        <is>
          <t>Previous SQL:
```sql
{previous_sql}
```
Feedback:
{feedback_payload}
First write 2-4 bullet points diagnosing why the SQL is wrong.
Then output the corrected SQL only inside one ```sql``` code block.</t>
        </is>
      </c>
      <c r="E9" s="50" t="inlineStr">
        <is>
          <t>{previous_sql}, {feedback_payload}</t>
        </is>
      </c>
      <c r="F9" s="50" t="inlineStr">
        <is>
          <t>Use when protocol_id = F3</t>
        </is>
      </c>
    </row>
    <row r="21" ht="15.75" customHeight="1" s="40"/>
    <row r="22" ht="15.75" customHeight="1" s="40"/>
    <row r="23" ht="15.75" customHeight="1" s="40"/>
    <row r="24" ht="15.75" customHeight="1" s="40"/>
    <row r="25" ht="15.75" customHeight="1" s="40"/>
    <row r="26" ht="15.75" customHeight="1" s="40"/>
    <row r="27" ht="15.75" customHeight="1" s="40"/>
    <row r="28" ht="15.75" customHeight="1" s="40"/>
    <row r="29" ht="15.75" customHeight="1" s="40"/>
    <row r="30" ht="15.75" customHeight="1" s="40"/>
    <row r="31" ht="15.75" customHeight="1" s="40"/>
    <row r="32" ht="15.75" customHeight="1" s="40"/>
    <row r="33" ht="15.75" customHeight="1" s="40"/>
    <row r="34" ht="15.75" customHeight="1" s="40"/>
    <row r="35" ht="15.75" customHeight="1" s="40"/>
    <row r="36" ht="15.75" customHeight="1" s="40"/>
    <row r="37" ht="15.75" customHeight="1" s="40"/>
    <row r="38" ht="15.75" customHeight="1" s="40"/>
    <row r="39" ht="15.75" customHeight="1" s="40"/>
    <row r="40" ht="15.75" customHeight="1" s="40"/>
    <row r="41" ht="15.75" customHeight="1" s="40"/>
    <row r="42" ht="15.75" customHeight="1" s="40"/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autoFilter ref="$A$4:$F$100"/>
  <mergeCells count="2">
    <mergeCell ref="A2:F2"/>
    <mergeCell ref="A1:F1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6" customWidth="1" style="40" min="1" max="1"/>
    <col width="14" customWidth="1" style="40" min="2" max="2"/>
    <col width="18" customWidth="1" style="40" min="3" max="3"/>
    <col width="42" customWidth="1" style="40" min="4" max="4"/>
    <col width="60" customWidth="1" style="40" min="5" max="5"/>
    <col width="24" customWidth="1" style="40" min="6" max="6"/>
    <col width="34" customWidth="1" style="40" min="7" max="7"/>
    <col width="16" customWidth="1" style="40" min="8" max="8"/>
    <col width="12" customWidth="1" style="40" min="9" max="10"/>
    <col width="16" customWidth="1" style="40" min="11" max="11"/>
    <col width="26" customWidth="1" style="40" min="12" max="12"/>
    <col width="8.710000000000001" customWidth="1" style="40" min="13" max="26"/>
  </cols>
  <sheetData>
    <row r="1" ht="24" customHeight="1" s="40">
      <c r="A1" s="51" t="inlineStr">
        <is>
          <t>Task Manifest (Spider2-Lite SQLite subset)</t>
        </is>
      </c>
    </row>
    <row r="2">
      <c r="A2" s="53" t="inlineStr">
        <is>
          <t>Enter only the fixed tasks you have approved for the pilot or main run. One row = one dataset task.</t>
        </is>
      </c>
      <c r="B2" s="43" t="n"/>
      <c r="C2" s="43" t="n"/>
      <c r="D2" s="43" t="n"/>
      <c r="E2" s="43" t="n"/>
      <c r="F2" s="43" t="n"/>
      <c r="G2" s="43" t="n"/>
      <c r="H2" s="43" t="n"/>
      <c r="I2" s="43" t="n"/>
      <c r="J2" s="43" t="n"/>
      <c r="K2" s="43" t="n"/>
      <c r="L2" s="43" t="n"/>
    </row>
    <row r="4" ht="27.75" customHeight="1" s="40">
      <c r="A4" s="46" t="inlineStr">
        <is>
          <t>task_id</t>
        </is>
      </c>
      <c r="B4" s="46" t="inlineStr">
        <is>
          <t>dataset_split</t>
        </is>
      </c>
      <c r="C4" s="46" t="inlineStr">
        <is>
          <t>db_name</t>
        </is>
      </c>
      <c r="D4" s="46" t="inlineStr">
        <is>
          <t>db_path</t>
        </is>
      </c>
      <c r="E4" s="46" t="inlineStr">
        <is>
          <t>question</t>
        </is>
      </c>
      <c r="F4" s="46" t="inlineStr">
        <is>
          <t>schema_hash / version</t>
        </is>
      </c>
      <c r="G4" s="46" t="inlineStr">
        <is>
          <t>oracle_result_file</t>
        </is>
      </c>
      <c r="H4" s="46" t="inlineStr">
        <is>
          <t>difficulty_band</t>
        </is>
      </c>
      <c r="I4" s="46" t="inlineStr">
        <is>
          <t>pilot?</t>
        </is>
      </c>
      <c r="J4" s="46" t="inlineStr">
        <is>
          <t>main?</t>
        </is>
      </c>
      <c r="K4" s="46" t="inlineStr">
        <is>
          <t>recording_segment</t>
        </is>
      </c>
      <c r="L4" s="46" t="inlineStr">
        <is>
          <t>notes</t>
        </is>
      </c>
    </row>
    <row r="5">
      <c r="A5" s="55" t="inlineStr">
        <is>
          <t>local056</t>
        </is>
      </c>
      <c r="B5" s="48" t="inlineStr">
        <is>
          <t>spider2-lite</t>
        </is>
      </c>
      <c r="C5" s="48" t="inlineStr">
        <is>
          <t>sqlite-sakila</t>
        </is>
      </c>
      <c r="D5" s="50" t="inlineStr">
        <is>
          <t>spider2-lite/resource/databases/spider2-localdb/sqlite-sakila.sqlite</t>
        </is>
      </c>
      <c r="E5" s="50" t="inlineStr">
        <is>
          <t>Which customer has the highest average monthly change in payment amounts? Provide the customer full name.</t>
        </is>
      </c>
      <c r="F5" s="50" t="inlineStr">
        <is>
          <t>SCHEMA_v1</t>
        </is>
      </c>
      <c r="G5" s="50" t="n"/>
      <c r="H5" s="49" t="inlineStr">
        <is>
          <t>Medium</t>
        </is>
      </c>
      <c r="I5" s="49" t="inlineStr">
        <is>
          <t>Yes</t>
        </is>
      </c>
      <c r="J5" s="49" t="inlineStr">
        <is>
          <t>Yes</t>
        </is>
      </c>
      <c r="K5" s="49" t="inlineStr">
        <is>
          <t>Segment 2</t>
        </is>
      </c>
      <c r="L5" s="50" t="inlineStr">
        <is>
          <t>Illustrative sample row; replace with your final chosen wording if needed.</t>
        </is>
      </c>
    </row>
    <row r="6">
      <c r="A6" s="55" t="inlineStr">
        <is>
          <t>local198</t>
        </is>
      </c>
      <c r="B6" s="48" t="inlineStr">
        <is>
          <t>spider2-lite</t>
        </is>
      </c>
      <c r="C6" s="48" t="inlineStr">
        <is>
          <t>chinook</t>
        </is>
      </c>
      <c r="D6" s="50" t="n"/>
      <c r="E6" s="50" t="n"/>
      <c r="F6" s="50" t="n"/>
      <c r="G6" s="50" t="n"/>
      <c r="H6" s="49" t="n"/>
      <c r="I6" s="49" t="inlineStr">
        <is>
          <t>No</t>
        </is>
      </c>
      <c r="J6" s="49" t="inlineStr">
        <is>
          <t>No</t>
        </is>
      </c>
      <c r="K6" s="49" t="n"/>
      <c r="L6" s="50" t="n"/>
    </row>
    <row r="21" ht="15.75" customHeight="1" s="40"/>
    <row r="22" ht="15.75" customHeight="1" s="40"/>
    <row r="23" ht="15.75" customHeight="1" s="40"/>
    <row r="24" ht="15.75" customHeight="1" s="40"/>
    <row r="25" ht="15.75" customHeight="1" s="40"/>
    <row r="26" ht="15.75" customHeight="1" s="40"/>
    <row r="27" ht="15.75" customHeight="1" s="40"/>
    <row r="28" ht="15.75" customHeight="1" s="40"/>
    <row r="29" ht="15.75" customHeight="1" s="40"/>
    <row r="30" ht="15.75" customHeight="1" s="40"/>
    <row r="31" ht="15.75" customHeight="1" s="40"/>
    <row r="32" ht="15.75" customHeight="1" s="40"/>
    <row r="33" ht="15.75" customHeight="1" s="40"/>
    <row r="34" ht="15.75" customHeight="1" s="40"/>
    <row r="35" ht="15.75" customHeight="1" s="40"/>
    <row r="36" ht="15.75" customHeight="1" s="40"/>
    <row r="37" ht="15.75" customHeight="1" s="40"/>
    <row r="38" ht="15.75" customHeight="1" s="40"/>
    <row r="39" ht="15.75" customHeight="1" s="40"/>
    <row r="40" ht="15.75" customHeight="1" s="40"/>
    <row r="41" ht="15.75" customHeight="1" s="40"/>
    <row r="42" ht="15.75" customHeight="1" s="40"/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autoFilter ref="$A$4:$L$300"/>
  <mergeCells count="2">
    <mergeCell ref="A2:L2"/>
    <mergeCell ref="A1:L1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8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24" customWidth="1" style="40" min="1" max="1"/>
    <col width="12" customWidth="1" style="40" min="2" max="2"/>
    <col width="14" customWidth="1" style="40" min="3" max="3"/>
    <col width="16" customWidth="1" style="40" min="4" max="4"/>
    <col width="24" customWidth="1" style="40" min="5" max="5"/>
    <col width="20" customWidth="1" style="40" min="6" max="6"/>
    <col width="12" customWidth="1" style="40" min="7" max="8"/>
    <col width="14" customWidth="1" style="40" min="9" max="9"/>
    <col width="10" customWidth="1" style="40" min="10" max="11"/>
    <col width="12" customWidth="1" style="40" min="12" max="13"/>
    <col width="16" customWidth="1" style="40" min="14" max="14"/>
    <col width="28" customWidth="1" style="40" min="15" max="16"/>
    <col width="14" customWidth="1" style="40" min="17" max="17"/>
    <col width="30" customWidth="1" style="40" min="18" max="18"/>
    <col width="8.710000000000001" customWidth="1" style="40" min="19" max="26"/>
  </cols>
  <sheetData>
    <row r="1" ht="24" customHeight="1" s="40">
      <c r="A1" s="51" t="inlineStr">
        <is>
          <t>Run Plan</t>
        </is>
      </c>
    </row>
    <row r="2">
      <c r="A2" s="53" t="inlineStr">
        <is>
          <t>One row = one trajectory you plan to execute. Create the run_id before you record anything so your files, screenshots, and log rows all point back to the same ID.</t>
        </is>
      </c>
      <c r="B2" s="43" t="n"/>
      <c r="C2" s="43" t="n"/>
      <c r="D2" s="43" t="n"/>
      <c r="E2" s="43" t="n"/>
      <c r="F2" s="43" t="n"/>
      <c r="G2" s="43" t="n"/>
      <c r="H2" s="43" t="n"/>
      <c r="I2" s="43" t="n"/>
      <c r="J2" s="43" t="n"/>
      <c r="K2" s="43" t="n"/>
      <c r="L2" s="43" t="n"/>
      <c r="M2" s="43" t="n"/>
      <c r="N2" s="43" t="n"/>
      <c r="O2" s="43" t="n"/>
      <c r="P2" s="43" t="n"/>
      <c r="Q2" s="43" t="n"/>
      <c r="R2" s="43" t="n"/>
    </row>
    <row r="4" ht="27.75" customHeight="1" s="40">
      <c r="A4" s="46" t="inlineStr">
        <is>
          <t>run_id</t>
        </is>
      </c>
      <c r="B4" s="46" t="inlineStr">
        <is>
          <t>batch_id</t>
        </is>
      </c>
      <c r="C4" s="46" t="inlineStr">
        <is>
          <t>task_id</t>
        </is>
      </c>
      <c r="D4" s="46" t="inlineStr">
        <is>
          <t>db_name</t>
        </is>
      </c>
      <c r="E4" s="46" t="inlineStr">
        <is>
          <t>model_id</t>
        </is>
      </c>
      <c r="F4" s="46" t="inlineStr">
        <is>
          <t>model_snapshot</t>
        </is>
      </c>
      <c r="G4" s="46" t="inlineStr">
        <is>
          <t>protocol_id</t>
        </is>
      </c>
      <c r="H4" s="46" t="inlineStr">
        <is>
          <t>temperature</t>
        </is>
      </c>
      <c r="I4" s="46" t="inlineStr">
        <is>
          <t>reasoning_mode</t>
        </is>
      </c>
      <c r="J4" s="46" t="inlineStr">
        <is>
          <t>T_max</t>
        </is>
      </c>
      <c r="K4" s="46" t="inlineStr">
        <is>
          <t>replicate</t>
        </is>
      </c>
      <c r="L4" s="46" t="inlineStr">
        <is>
          <t>operator</t>
        </is>
      </c>
      <c r="M4" s="46" t="inlineStr">
        <is>
          <t>planned_date</t>
        </is>
      </c>
      <c r="N4" s="46" t="inlineStr">
        <is>
          <t>record_file</t>
        </is>
      </c>
      <c r="O4" s="46" t="inlineStr">
        <is>
          <t>artifact_folder</t>
        </is>
      </c>
      <c r="P4" s="46" t="inlineStr">
        <is>
          <t>commit_hash</t>
        </is>
      </c>
      <c r="Q4" s="46" t="inlineStr">
        <is>
          <t>status</t>
        </is>
      </c>
      <c r="R4" s="46" t="inlineStr">
        <is>
          <t>notes</t>
        </is>
      </c>
    </row>
    <row r="5" s="40">
      <c r="A5" s="55" t="inlineStr">
        <is>
          <t>PILOT-LOCAL056-GPT51-F1-R1</t>
        </is>
      </c>
      <c r="B5" s="48" t="inlineStr">
        <is>
          <t>PILOT_A</t>
        </is>
      </c>
      <c r="C5" s="48" t="inlineStr">
        <is>
          <t>local056</t>
        </is>
      </c>
      <c r="D5" s="48" t="inlineStr">
        <is>
          <t>sqlite-sakila</t>
        </is>
      </c>
      <c r="E5" s="48" t="inlineStr">
        <is>
          <t>gpt-5.1</t>
        </is>
      </c>
      <c r="F5" s="48" t="inlineStr">
        <is>
          <t>gpt-5.1</t>
        </is>
      </c>
      <c r="G5" s="29" t="inlineStr">
        <is>
          <t>F1</t>
        </is>
      </c>
      <c r="H5" s="29" t="n">
        <v>0</v>
      </c>
      <c r="I5" s="29" t="inlineStr">
        <is>
          <t>none</t>
        </is>
      </c>
      <c r="J5" s="29" t="n">
        <v>5</v>
      </c>
      <c r="K5" s="29" t="n">
        <v>1</v>
      </c>
      <c r="L5" s="47" t="inlineStr">
        <is>
          <t>Lead</t>
        </is>
      </c>
      <c r="M5" s="49" t="inlineStr">
        <is>
          <t>2026-03-10</t>
        </is>
      </c>
      <c r="N5" s="50" t="inlineStr">
        <is>
          <t>obs_pilot_local056_gpt51_f1_r1.mp4</t>
        </is>
      </c>
      <c r="O5" s="50" t="inlineStr">
        <is>
          <t>runs/PILOT-LOCAL056-GPT51-F1-R1/</t>
        </is>
      </c>
      <c r="P5" s="50" t="inlineStr"/>
      <c r="Q5" s="47" t="inlineStr">
        <is>
          <t>Ready</t>
        </is>
      </c>
      <c r="R5" s="50" t="inlineStr">
        <is>
          <t>Illustrative sample row.</t>
        </is>
      </c>
    </row>
    <row r="6">
      <c r="A6" s="55" t="inlineStr">
        <is>
          <t>PILOT-LOCAL056-GEM25PRO-F2-R1</t>
        </is>
      </c>
      <c r="B6" s="48" t="inlineStr">
        <is>
          <t>PILOT_A</t>
        </is>
      </c>
      <c r="C6" s="48" t="inlineStr">
        <is>
          <t>local056</t>
        </is>
      </c>
      <c r="D6" s="48" t="inlineStr">
        <is>
          <t>sqlite-sakila</t>
        </is>
      </c>
      <c r="E6" s="48" t="inlineStr">
        <is>
          <t>gemini-2.5-pro</t>
        </is>
      </c>
      <c r="F6" s="48" t="inlineStr">
        <is>
          <t>gemini-2.5-pro</t>
        </is>
      </c>
      <c r="G6" s="29" t="inlineStr">
        <is>
          <t>F2</t>
        </is>
      </c>
      <c r="H6" s="29" t="n">
        <v>0</v>
      </c>
      <c r="I6" s="29" t="inlineStr">
        <is>
          <t>default</t>
        </is>
      </c>
      <c r="J6" s="29" t="n">
        <v>5</v>
      </c>
      <c r="K6" s="29" t="n">
        <v>1</v>
      </c>
      <c r="L6" s="47" t="inlineStr">
        <is>
          <t>Lead</t>
        </is>
      </c>
      <c r="M6" s="49" t="inlineStr">
        <is>
          <t>2026-03-10</t>
        </is>
      </c>
      <c r="N6" s="50" t="inlineStr">
        <is>
          <t>obs_pilot_local056_gem25pro_f2_r1.mp4</t>
        </is>
      </c>
      <c r="O6" s="50" t="inlineStr">
        <is>
          <t>runs/PILOT-LOCAL056-GEM25PRO-F2-R1/</t>
        </is>
      </c>
      <c r="P6" s="50" t="inlineStr"/>
      <c r="Q6" s="47" t="inlineStr">
        <is>
          <t>Ready</t>
        </is>
      </c>
      <c r="R6" s="50" t="inlineStr">
        <is>
          <t>Illustrative sample row.</t>
        </is>
      </c>
    </row>
    <row r="7">
      <c r="A7" s="0" t="inlineStr">
        <is>
          <t>PILOT-LOCAL056-DSREASONER-F1-R1</t>
        </is>
      </c>
      <c r="B7" s="0" t="inlineStr">
        <is>
          <t>PILOT_A</t>
        </is>
      </c>
      <c r="C7" s="0" t="inlineStr">
        <is>
          <t>local056</t>
        </is>
      </c>
      <c r="D7" s="0" t="inlineStr">
        <is>
          <t>sqlite-sakila</t>
        </is>
      </c>
      <c r="E7" s="0" t="inlineStr">
        <is>
          <t>deepseek-reasoner</t>
        </is>
      </c>
      <c r="F7" s="0" t="inlineStr">
        <is>
          <t>deepseek-reasoner</t>
        </is>
      </c>
      <c r="G7" s="0" t="inlineStr">
        <is>
          <t>F1</t>
        </is>
      </c>
      <c r="H7" s="0" t="n">
        <v>0</v>
      </c>
      <c r="I7" s="0" t="inlineStr">
        <is>
          <t>thinking</t>
        </is>
      </c>
      <c r="J7" s="0" t="n">
        <v>5</v>
      </c>
      <c r="K7" s="0" t="n">
        <v>1</v>
      </c>
      <c r="L7" s="0" t="inlineStr">
        <is>
          <t>Lead</t>
        </is>
      </c>
      <c r="M7" s="0" t="inlineStr">
        <is>
          <t>2026-03-10</t>
        </is>
      </c>
      <c r="N7" s="0" t="inlineStr">
        <is>
          <t>obs_pilot_local056_dsreasoner_f1_r1.mp4</t>
        </is>
      </c>
      <c r="O7" s="0" t="inlineStr">
        <is>
          <t>runs/PILOT-LOCAL056-DSREASONER-F1-R1/</t>
        </is>
      </c>
      <c r="P7" s="0" t="inlineStr"/>
      <c r="Q7" s="0" t="inlineStr">
        <is>
          <t>Ready</t>
        </is>
      </c>
      <c r="R7" s="0" t="inlineStr">
        <is>
          <t>Illustrative sample row.</t>
        </is>
      </c>
    </row>
    <row r="8" s="40">
      <c r="A8" s="55" t="inlineStr">
        <is>
          <t>LOCAL001-GPT-5-1-F1-R1</t>
        </is>
      </c>
      <c r="B8" s="48" t="inlineStr">
        <is>
          <t>MAIN</t>
        </is>
      </c>
      <c r="C8" s="48" t="inlineStr">
        <is>
          <t>local001</t>
        </is>
      </c>
      <c r="D8" s="48" t="inlineStr">
        <is>
          <t>sqlite-demo</t>
        </is>
      </c>
      <c r="E8" s="48" t="inlineStr">
        <is>
          <t>gpt-5.1</t>
        </is>
      </c>
      <c r="F8" s="48" t="inlineStr">
        <is>
          <t>gpt-5.1</t>
        </is>
      </c>
      <c r="G8" s="29" t="inlineStr">
        <is>
          <t>F1</t>
        </is>
      </c>
      <c r="H8" s="29" t="n">
        <v>0</v>
      </c>
      <c r="I8" s="29" t="inlineStr">
        <is>
          <t>none</t>
        </is>
      </c>
      <c r="J8" s="29" t="n">
        <v>5</v>
      </c>
      <c r="K8" s="29" t="n">
        <v>1</v>
      </c>
      <c r="L8" s="47" t="inlineStr"/>
      <c r="M8" s="49" t="inlineStr">
        <is>
          <t>2026-03-11</t>
        </is>
      </c>
      <c r="N8" s="50" t="inlineStr"/>
      <c r="O8" s="50" t="inlineStr">
        <is>
          <t>runs\LOCAL001-GPT-5-1-F1-R1</t>
        </is>
      </c>
      <c r="P8" s="50" t="inlineStr"/>
      <c r="Q8" s="47" t="inlineStr">
        <is>
          <t>Complete</t>
        </is>
      </c>
      <c r="R8" s="50" t="inlineStr">
        <is>
          <t>final_state=Pass; pass_turn=1</t>
        </is>
      </c>
    </row>
    <row r="21" ht="15.75" customHeight="1" s="40"/>
    <row r="22" ht="15.75" customHeight="1" s="40"/>
    <row r="23" ht="15.75" customHeight="1" s="40"/>
    <row r="24" ht="15.75" customHeight="1" s="40"/>
    <row r="25" ht="15.75" customHeight="1" s="40"/>
    <row r="26" ht="15.75" customHeight="1" s="40"/>
    <row r="27" ht="15.75" customHeight="1" s="40"/>
    <row r="28" ht="15.75" customHeight="1" s="40"/>
    <row r="29" ht="15.75" customHeight="1" s="40"/>
    <row r="30" ht="15.75" customHeight="1" s="40"/>
    <row r="31" ht="15.75" customHeight="1" s="40"/>
    <row r="32" ht="15.75" customHeight="1" s="40"/>
    <row r="33" ht="15.75" customHeight="1" s="40"/>
    <row r="34" ht="15.75" customHeight="1" s="40"/>
    <row r="35" ht="15.75" customHeight="1" s="40"/>
    <row r="36" ht="15.75" customHeight="1" s="40"/>
    <row r="37" ht="15.75" customHeight="1" s="40"/>
    <row r="38" ht="15.75" customHeight="1" s="40"/>
    <row r="39" ht="15.75" customHeight="1" s="40"/>
    <row r="40" ht="15.75" customHeight="1" s="40"/>
    <row r="41" ht="15.75" customHeight="1" s="40"/>
    <row r="42" ht="15.75" customHeight="1" s="40"/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autoFilter ref="$A$4:$R$400"/>
  <mergeCells count="2">
    <mergeCell ref="A2:R2"/>
    <mergeCell ref="A1:R1"/>
  </mergeCells>
  <conditionalFormatting sqref="A5:R400">
    <cfRule type="expression" priority="1" dxfId="0">
      <formula>$Q5="Complete"</formula>
    </cfRule>
    <cfRule type="expression" priority="2" dxfId="1">
      <formula>$Q5="Ready"</formula>
    </cfRule>
    <cfRule type="expression" priority="3" dxfId="2">
      <formula>$Q5="Blocked"</formula>
    </cfRule>
    <cfRule type="expression" priority="4" dxfId="3">
      <formula>$Q5="In progress"</formula>
    </cfRule>
  </conditionalFormatting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404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2" customWidth="1" style="40" min="1" max="1"/>
    <col width="24" customWidth="1" style="40" min="2" max="2"/>
    <col width="8" customWidth="1" style="40" min="3" max="3"/>
    <col width="14" customWidth="1" style="40" min="4" max="4"/>
    <col width="16" customWidth="1" style="40" min="5" max="5"/>
    <col width="24" customWidth="1" style="40" min="6" max="6"/>
    <col width="12" customWidth="1" style="40" min="7" max="7"/>
    <col width="24" customWidth="1" style="40" min="8" max="10"/>
    <col width="16" customWidth="1" style="40" min="11" max="11"/>
    <col width="11" customWidth="1" style="40" min="12" max="14"/>
    <col width="12" customWidth="1" style="40" min="15" max="15"/>
    <col width="28" customWidth="1" style="40" min="16" max="16"/>
    <col width="16" customWidth="1" style="40" min="17" max="17"/>
    <col width="10" customWidth="1" style="40" min="18" max="18"/>
    <col width="16" customWidth="1" style="40" min="19" max="21"/>
    <col width="12" customWidth="1" style="40" min="22" max="24"/>
    <col width="10" customWidth="1" style="40" min="25" max="25"/>
    <col width="24" customWidth="1" style="40" min="26" max="27"/>
    <col width="18" customWidth="1" style="40" min="28" max="28"/>
    <col width="28" customWidth="1" style="40" min="29" max="29"/>
    <col width="26" customWidth="1" style="40" min="30" max="30"/>
    <col width="18" customWidth="1" style="40" min="31" max="31"/>
  </cols>
  <sheetData>
    <row r="1" ht="24" customHeight="1" s="40">
      <c r="A1" s="51" t="inlineStr">
        <is>
          <t>Turn Log</t>
        </is>
      </c>
    </row>
    <row r="2">
      <c r="A2" s="53" t="inlineStr">
        <is>
          <t>Log one row per executed turn. Fill the blue cells immediately after each turn finishes. Formula cells compute severity, regressions, and pass flags automatically.</t>
        </is>
      </c>
      <c r="B2" s="43" t="n"/>
      <c r="C2" s="43" t="n"/>
      <c r="D2" s="43" t="n"/>
      <c r="E2" s="43" t="n"/>
      <c r="F2" s="43" t="n"/>
      <c r="G2" s="43" t="n"/>
      <c r="H2" s="43" t="n"/>
      <c r="I2" s="43" t="n"/>
      <c r="J2" s="43" t="n"/>
      <c r="K2" s="43" t="n"/>
      <c r="L2" s="43" t="n"/>
      <c r="M2" s="43" t="n"/>
      <c r="N2" s="43" t="n"/>
      <c r="O2" s="43" t="n"/>
      <c r="P2" s="43" t="n"/>
      <c r="Q2" s="43" t="n"/>
      <c r="R2" s="43" t="n"/>
      <c r="S2" s="43" t="n"/>
      <c r="T2" s="43" t="n"/>
      <c r="U2" s="43" t="n"/>
      <c r="V2" s="43" t="n"/>
      <c r="W2" s="43" t="n"/>
      <c r="X2" s="43" t="n"/>
      <c r="Y2" s="43" t="n"/>
      <c r="Z2" s="43" t="n"/>
      <c r="AA2" s="43" t="n"/>
      <c r="AB2" s="43" t="n"/>
      <c r="AC2" s="43" t="n"/>
      <c r="AD2" s="43" t="n"/>
      <c r="AE2" s="43" t="n"/>
    </row>
    <row r="4" ht="27.75" customHeight="1" s="40">
      <c r="A4" s="46" t="inlineStr">
        <is>
          <t>batch_id</t>
        </is>
      </c>
      <c r="B4" s="46" t="inlineStr">
        <is>
          <t>run_id</t>
        </is>
      </c>
      <c r="C4" s="46" t="inlineStr">
        <is>
          <t>turn_no</t>
        </is>
      </c>
      <c r="D4" s="46" t="inlineStr">
        <is>
          <t>task_id</t>
        </is>
      </c>
      <c r="E4" s="46" t="inlineStr">
        <is>
          <t>db_name</t>
        </is>
      </c>
      <c r="F4" s="46" t="inlineStr">
        <is>
          <t>model_id</t>
        </is>
      </c>
      <c r="G4" s="46" t="inlineStr">
        <is>
          <t>protocol_id</t>
        </is>
      </c>
      <c r="H4" s="46" t="inlineStr">
        <is>
          <t>prompt_file</t>
        </is>
      </c>
      <c r="I4" s="46" t="inlineStr">
        <is>
          <t>response_file</t>
        </is>
      </c>
      <c r="J4" s="46" t="inlineStr">
        <is>
          <t>extracted_sql_file</t>
        </is>
      </c>
      <c r="K4" s="46" t="inlineStr">
        <is>
          <t>prompt_hash</t>
        </is>
      </c>
      <c r="L4" s="46" t="inlineStr">
        <is>
          <t>exec_ms</t>
        </is>
      </c>
      <c r="M4" s="46" t="inlineStr">
        <is>
          <t>rows_pred</t>
        </is>
      </c>
      <c r="N4" s="46" t="inlineStr">
        <is>
          <t>rows_gold</t>
        </is>
      </c>
      <c r="O4" s="46" t="inlineStr">
        <is>
          <t>symdiff_rows</t>
        </is>
      </c>
      <c r="P4" s="46" t="inlineStr">
        <is>
          <t>sqlite_error</t>
        </is>
      </c>
      <c r="Q4" s="46" t="inlineStr">
        <is>
          <t>exec_state</t>
        </is>
      </c>
      <c r="R4" s="46" t="inlineStr">
        <is>
          <t>severity</t>
        </is>
      </c>
      <c r="S4" s="46" t="inlineStr">
        <is>
          <t>helper_key</t>
        </is>
      </c>
      <c r="T4" s="46" t="inlineStr">
        <is>
          <t>helper_prev_key</t>
        </is>
      </c>
      <c r="U4" s="46" t="inlineStr">
        <is>
          <t>prev_state</t>
        </is>
      </c>
      <c r="V4" s="46" t="inlineStr">
        <is>
          <t>prev_severity</t>
        </is>
      </c>
      <c r="W4" s="46" t="inlineStr">
        <is>
          <t>state_change</t>
        </is>
      </c>
      <c r="X4" s="46" t="inlineStr">
        <is>
          <t>improved</t>
        </is>
      </c>
      <c r="Y4" s="46" t="inlineStr">
        <is>
          <t>regressed</t>
        </is>
      </c>
      <c r="Z4" s="46" t="inlineStr">
        <is>
          <t>pass_flag</t>
        </is>
      </c>
      <c r="AA4" s="46" t="inlineStr">
        <is>
          <t>feedback_file</t>
        </is>
      </c>
      <c r="AB4" s="46" t="inlineStr">
        <is>
          <t>screenshot_file</t>
        </is>
      </c>
      <c r="AC4" s="46" t="inlineStr">
        <is>
          <t>recording_timestamp</t>
        </is>
      </c>
      <c r="AD4" s="46" t="inlineStr">
        <is>
          <t>notes</t>
        </is>
      </c>
      <c r="AE4" s="46" t="inlineStr">
        <is>
          <t>review_flag</t>
        </is>
      </c>
    </row>
    <row r="5">
      <c r="A5" s="48" t="inlineStr">
        <is>
          <t>PILOT_A</t>
        </is>
      </c>
      <c r="B5" s="48" t="inlineStr">
        <is>
          <t>PILOT-LOCAL056-GPT51-F1-R1</t>
        </is>
      </c>
      <c r="C5" s="47" t="n">
        <v>1</v>
      </c>
      <c r="D5" s="48" t="inlineStr">
        <is>
          <t>local056</t>
        </is>
      </c>
      <c r="E5" s="48" t="inlineStr">
        <is>
          <t>sqlite-sakila</t>
        </is>
      </c>
      <c r="F5" s="48" t="inlineStr">
        <is>
          <t>gpt-5.1</t>
        </is>
      </c>
      <c r="G5" s="47" t="inlineStr">
        <is>
          <t>F1</t>
        </is>
      </c>
      <c r="H5" s="50" t="inlineStr">
        <is>
          <t>prompts/PILOT-LOCAL056-GPT51-F1-R1_turn01.txt</t>
        </is>
      </c>
      <c r="I5" s="50" t="inlineStr">
        <is>
          <t>responses/PILOT-LOCAL056-GPT51-F1-R1_turn01.txt</t>
        </is>
      </c>
      <c r="J5" s="50" t="inlineStr">
        <is>
          <t>sql/PILOT-LOCAL056-GPT51-F1-R1_turn01.sql</t>
        </is>
      </c>
      <c r="K5" s="50" t="inlineStr"/>
      <c r="L5" s="49" t="n">
        <v>1430</v>
      </c>
      <c r="M5" s="49" t="inlineStr"/>
      <c r="N5" s="49" t="inlineStr"/>
      <c r="O5" s="49" t="inlineStr"/>
      <c r="P5" s="50" t="inlineStr">
        <is>
          <t>no such function: DATE_TRUNC</t>
        </is>
      </c>
      <c r="Q5" s="49" t="inlineStr">
        <is>
          <t>RuntimeError</t>
        </is>
      </c>
      <c r="R5" s="56">
        <f>IF(Q5="","",IFERROR(VLOOKUP(Q5,Lookups!$A$2:$B$8,2,FALSE),""))</f>
        <v/>
      </c>
      <c r="S5" s="53">
        <f>IF(B5="","",B5&amp;"|"&amp;TEXT(C5,"00"))</f>
        <v/>
      </c>
      <c r="T5" s="53">
        <f>IF(B5="","",B5&amp;"|"&amp;TEXT(C5-1,"00"))</f>
        <v/>
      </c>
      <c r="U5" s="53">
        <f>IFERROR(INDEX($Q$5:$Q$5000,MATCH(T5,$S$5:$S$5000,0)),"")</f>
        <v/>
      </c>
      <c r="V5" s="56">
        <f>IFERROR(INDEX($R$5:$R$5000,MATCH(T5,$S$5:$S$5000,0)),"")</f>
        <v/>
      </c>
      <c r="W5" s="56">
        <f>IF(U5="","",IF(Q5&lt;&gt;U5,1,0))</f>
        <v/>
      </c>
      <c r="X5" s="56">
        <f>IF(V5="","",IF(R5&lt;V5,1,0))</f>
        <v/>
      </c>
      <c r="Y5" s="56">
        <f>IF(V5="","",IF(R5&gt;V5,1,0))</f>
        <v/>
      </c>
      <c r="Z5" s="56">
        <f>IF(Q5="","",IF(Q5="Pass",1,0))</f>
        <v/>
      </c>
      <c r="AA5" s="50" t="inlineStr">
        <is>
          <t>feedback/PILOT-LOCAL056-GPT51-F1-R1_turn01.txt</t>
        </is>
      </c>
      <c r="AB5" s="50" t="inlineStr">
        <is>
          <t>screens/PILOT-LOCAL056-GPT51-F1-R1_turn01.png</t>
        </is>
      </c>
      <c r="AC5" s="49" t="inlineStr">
        <is>
          <t>00:02:14</t>
        </is>
      </c>
      <c r="AD5" s="50" t="inlineStr">
        <is>
          <t>Illustrative sample row only.</t>
        </is>
      </c>
      <c r="AE5" s="49" t="inlineStr">
        <is>
          <t>Review</t>
        </is>
      </c>
    </row>
    <row r="6">
      <c r="A6" s="48" t="inlineStr">
        <is>
          <t>PILOT_A</t>
        </is>
      </c>
      <c r="B6" s="48" t="inlineStr">
        <is>
          <t>PILOT-LOCAL056-GPT51-F1-R1</t>
        </is>
      </c>
      <c r="C6" s="47" t="n">
        <v>2</v>
      </c>
      <c r="D6" s="48" t="inlineStr">
        <is>
          <t>local056</t>
        </is>
      </c>
      <c r="E6" s="48" t="inlineStr">
        <is>
          <t>sqlite-sakila</t>
        </is>
      </c>
      <c r="F6" s="48" t="inlineStr">
        <is>
          <t>gpt-5.1</t>
        </is>
      </c>
      <c r="G6" s="47" t="inlineStr">
        <is>
          <t>F1</t>
        </is>
      </c>
      <c r="H6" s="50" t="inlineStr">
        <is>
          <t>prompts/PILOT-LOCAL056-GPT51-F1-R1_turn02.txt</t>
        </is>
      </c>
      <c r="I6" s="50" t="inlineStr">
        <is>
          <t>responses/PILOT-LOCAL056-GPT51-F1-R1_turn02.txt</t>
        </is>
      </c>
      <c r="J6" s="50" t="inlineStr">
        <is>
          <t>sql/PILOT-LOCAL056-GPT51-F1-R1_turn02.sql</t>
        </is>
      </c>
      <c r="K6" s="50" t="inlineStr"/>
      <c r="L6" s="49" t="n">
        <v>1512</v>
      </c>
      <c r="M6" s="49" t="n">
        <v>1</v>
      </c>
      <c r="N6" s="49" t="n">
        <v>1</v>
      </c>
      <c r="O6" s="49" t="n">
        <v>0</v>
      </c>
      <c r="P6" s="50" t="inlineStr"/>
      <c r="Q6" s="49" t="inlineStr">
        <is>
          <t>Pass</t>
        </is>
      </c>
      <c r="R6" s="56">
        <f>IF(Q6="","",IFERROR(VLOOKUP(Q6,Lookups!$A$2:$B$8,2,FALSE),""))</f>
        <v/>
      </c>
      <c r="S6" s="53">
        <f>IF(B6="","",B6&amp;"|"&amp;TEXT(C6,"00"))</f>
        <v/>
      </c>
      <c r="T6" s="53">
        <f>IF(B6="","",B6&amp;"|"&amp;TEXT(C6-1,"00"))</f>
        <v/>
      </c>
      <c r="U6" s="53">
        <f>IFERROR(INDEX($Q$5:$Q$5000,MATCH(T6,$S$5:$S$5000,0)),"")</f>
        <v/>
      </c>
      <c r="V6" s="56">
        <f>IFERROR(INDEX($R$5:$R$5000,MATCH(T6,$S$5:$S$5000,0)),"")</f>
        <v/>
      </c>
      <c r="W6" s="56">
        <f>IF(U6="","",IF(Q6&lt;&gt;U6,1,0))</f>
        <v/>
      </c>
      <c r="X6" s="56">
        <f>IF(V6="","",IF(R6&lt;V6,1,0))</f>
        <v/>
      </c>
      <c r="Y6" s="56">
        <f>IF(V6="","",IF(R6&gt;V6,1,0))</f>
        <v/>
      </c>
      <c r="Z6" s="56">
        <f>IF(Q6="","",IF(Q6="Pass",1,0))</f>
        <v/>
      </c>
      <c r="AA6" s="50" t="inlineStr">
        <is>
          <t>feedback/PILOT-LOCAL056-GPT51-F1-R1_turn02.txt</t>
        </is>
      </c>
      <c r="AB6" s="50" t="inlineStr">
        <is>
          <t>screens/PILOT-LOCAL056-GPT51-F1-R1_turn02.png</t>
        </is>
      </c>
      <c r="AC6" s="49" t="inlineStr">
        <is>
          <t>00:03:02</t>
        </is>
      </c>
      <c r="AD6" s="50" t="inlineStr">
        <is>
          <t>Illustrative sample row only.</t>
        </is>
      </c>
      <c r="AE6" s="49" t="inlineStr">
        <is>
          <t>Review</t>
        </is>
      </c>
    </row>
    <row r="7" s="40">
      <c r="A7" s="48" t="inlineStr">
        <is>
          <t>MAIN</t>
        </is>
      </c>
      <c r="B7" s="48" t="inlineStr">
        <is>
          <t>LOCAL001-GPT-5-1-F1-R1</t>
        </is>
      </c>
      <c r="C7" s="47" t="n">
        <v>1</v>
      </c>
      <c r="D7" s="48" t="inlineStr">
        <is>
          <t>local001</t>
        </is>
      </c>
      <c r="E7" s="48" t="inlineStr">
        <is>
          <t>sqlite-demo</t>
        </is>
      </c>
      <c r="F7" s="48" t="inlineStr">
        <is>
          <t>gpt-5.1</t>
        </is>
      </c>
      <c r="G7" s="47" t="inlineStr">
        <is>
          <t>F1</t>
        </is>
      </c>
      <c r="H7" s="50" t="inlineStr">
        <is>
          <t>prompts\LOCAL001-GPT-5-1-F1-R1_turn01.txt</t>
        </is>
      </c>
      <c r="I7" s="50" t="inlineStr">
        <is>
          <t>responses\LOCAL001-GPT-5-1-F1-R1_turn01.txt</t>
        </is>
      </c>
      <c r="J7" s="50" t="inlineStr">
        <is>
          <t>sql\LOCAL001-GPT-5-1-F1-R1_turn01.sql</t>
        </is>
      </c>
      <c r="K7" s="50" t="inlineStr">
        <is>
          <t>487e7da40a80ad044f03f1e40081bb736cc6f2fb</t>
        </is>
      </c>
      <c r="L7" s="49" t="n">
        <v>0</v>
      </c>
      <c r="M7" s="49" t="n">
        <v>1</v>
      </c>
      <c r="N7" s="49" t="n">
        <v>1</v>
      </c>
      <c r="O7" s="49" t="n">
        <v>0</v>
      </c>
      <c r="P7" s="50" t="n"/>
      <c r="Q7" s="49" t="inlineStr">
        <is>
          <t>Pass</t>
        </is>
      </c>
      <c r="R7" s="56">
        <f>IF(Q7="","",IFERROR(VLOOKUP(Q7,Lookups!$A$2:$B$8,2,FALSE),""))</f>
        <v/>
      </c>
      <c r="S7" s="53">
        <f>IF(B7="","",B7&amp;"|"&amp;TEXT(C7,"00"))</f>
        <v/>
      </c>
      <c r="T7" s="53">
        <f>IF(B7="","",B7&amp;"|"&amp;TEXT(C7-1,"00"))</f>
        <v/>
      </c>
      <c r="U7" s="53">
        <f>IFERROR(INDEX($Q$5:$Q$5000,MATCH(T7,$S$5:$S$5000,0)),"")</f>
        <v/>
      </c>
      <c r="V7" s="56">
        <f>IFERROR(INDEX($R$5:$R$5000,MATCH(T7,$S$5:$S$5000,0)),"")</f>
        <v/>
      </c>
      <c r="W7" s="56">
        <f>IF(U7="","",IF(Q7&lt;&gt;U7,1,0))</f>
        <v/>
      </c>
      <c r="X7" s="56">
        <f>IF(V7="","",IF(R7&lt;V7,1,0))</f>
        <v/>
      </c>
      <c r="Y7" s="56">
        <f>IF(V7="","",IF(R7&gt;V7,1,0))</f>
        <v/>
      </c>
      <c r="Z7" s="56">
        <f>IF(Q7="","",IF(Q7="Pass",1,0))</f>
        <v/>
      </c>
      <c r="AA7" s="50" t="inlineStr">
        <is>
          <t>feedback\LOCAL001-GPT-5-1-F1-R1_turn01.txt</t>
        </is>
      </c>
      <c r="AB7" s="50" t="inlineStr"/>
      <c r="AC7" s="49" t="inlineStr">
        <is>
          <t>02:17:10</t>
        </is>
      </c>
      <c r="AD7" s="50" t="inlineStr">
        <is>
          <t>extraction=raw_sql</t>
        </is>
      </c>
      <c r="AE7" s="49" t="inlineStr"/>
    </row>
    <row r="8">
      <c r="A8" s="48" t="n"/>
      <c r="B8" s="48" t="n"/>
      <c r="C8" s="47" t="n"/>
      <c r="D8" s="48" t="n"/>
      <c r="E8" s="48" t="n"/>
      <c r="F8" s="48" t="n"/>
      <c r="G8" s="47" t="n"/>
      <c r="H8" s="50" t="n"/>
      <c r="I8" s="50" t="n"/>
      <c r="J8" s="50" t="n"/>
      <c r="K8" s="50" t="n"/>
      <c r="L8" s="49" t="n"/>
      <c r="M8" s="49" t="n"/>
      <c r="N8" s="49" t="n"/>
      <c r="O8" s="49" t="n"/>
      <c r="P8" s="50" t="n"/>
      <c r="Q8" s="49" t="n"/>
      <c r="R8" s="56">
        <f>IF(Q8="","",IFERROR(VLOOKUP(Q8,Lookups!$A$2:$B$8,2,FALSE),""))</f>
        <v/>
      </c>
      <c r="S8" s="53">
        <f>IF(B8="","",B8&amp;"|"&amp;TEXT(C8,"00"))</f>
        <v/>
      </c>
      <c r="T8" s="53">
        <f>IF(B8="","",B8&amp;"|"&amp;TEXT(C8-1,"00"))</f>
        <v/>
      </c>
      <c r="U8" s="53">
        <f>IFERROR(INDEX($Q:$Q,MATCH(T8,$S:$S,0)),"")</f>
        <v/>
      </c>
      <c r="V8" s="56">
        <f>IFERROR(INDEX($R:$R,MATCH(T8,$S:$S,0)),"")</f>
        <v/>
      </c>
      <c r="W8" s="56">
        <f>IF(U8="","",IF(Q8&lt;&gt;U8,1,0))</f>
        <v/>
      </c>
      <c r="X8" s="56">
        <f>IF(V8="","",IF(R8&lt;V8,1,0))</f>
        <v/>
      </c>
      <c r="Y8" s="56">
        <f>IF(V8="","",IF(R8&gt;V8,1,0))</f>
        <v/>
      </c>
      <c r="Z8" s="56">
        <f>IF(Q8="Pass",1,0)</f>
        <v/>
      </c>
      <c r="AA8" s="50" t="n"/>
      <c r="AB8" s="50" t="n"/>
      <c r="AC8" s="49" t="n"/>
      <c r="AD8" s="50" t="n"/>
      <c r="AE8" s="49" t="n"/>
    </row>
    <row r="9">
      <c r="A9" s="48" t="n"/>
      <c r="B9" s="48" t="n"/>
      <c r="C9" s="47" t="n"/>
      <c r="D9" s="48" t="n"/>
      <c r="E9" s="48" t="n"/>
      <c r="F9" s="48" t="n"/>
      <c r="G9" s="47" t="n"/>
      <c r="H9" s="50" t="n"/>
      <c r="I9" s="50" t="n"/>
      <c r="J9" s="50" t="n"/>
      <c r="K9" s="50" t="n"/>
      <c r="L9" s="49" t="n"/>
      <c r="M9" s="49" t="n"/>
      <c r="N9" s="49" t="n"/>
      <c r="O9" s="49" t="n"/>
      <c r="P9" s="50" t="n"/>
      <c r="Q9" s="49" t="n"/>
      <c r="R9" s="56">
        <f>IF(Q9="","",IFERROR(VLOOKUP(Q9,Lookups!$A$2:$B$8,2,FALSE),""))</f>
        <v/>
      </c>
      <c r="S9" s="53">
        <f>IF(B9="","",B9&amp;"|"&amp;TEXT(C9,"00"))</f>
        <v/>
      </c>
      <c r="T9" s="53">
        <f>IF(B9="","",B9&amp;"|"&amp;TEXT(C9-1,"00"))</f>
        <v/>
      </c>
      <c r="U9" s="53">
        <f>IFERROR(INDEX($Q:$Q,MATCH(T9,$S:$S,0)),"")</f>
        <v/>
      </c>
      <c r="V9" s="56">
        <f>IFERROR(INDEX($R:$R,MATCH(T9,$S:$S,0)),"")</f>
        <v/>
      </c>
      <c r="W9" s="56">
        <f>IF(U9="","",IF(Q9&lt;&gt;U9,1,0))</f>
        <v/>
      </c>
      <c r="X9" s="56">
        <f>IF(V9="","",IF(R9&lt;V9,1,0))</f>
        <v/>
      </c>
      <c r="Y9" s="56">
        <f>IF(V9="","",IF(R9&gt;V9,1,0))</f>
        <v/>
      </c>
      <c r="Z9" s="56">
        <f>IF(Q9="Pass",1,0)</f>
        <v/>
      </c>
      <c r="AA9" s="50" t="n"/>
      <c r="AB9" s="50" t="n"/>
      <c r="AC9" s="49" t="n"/>
      <c r="AD9" s="50" t="n"/>
      <c r="AE9" s="49" t="n"/>
    </row>
    <row r="10">
      <c r="A10" s="48" t="n"/>
      <c r="B10" s="48" t="n"/>
      <c r="C10" s="47" t="n"/>
      <c r="D10" s="48" t="n"/>
      <c r="E10" s="48" t="n"/>
      <c r="F10" s="48" t="n"/>
      <c r="G10" s="47" t="n"/>
      <c r="H10" s="50" t="n"/>
      <c r="I10" s="50" t="n"/>
      <c r="J10" s="50" t="n"/>
      <c r="K10" s="50" t="n"/>
      <c r="L10" s="49" t="n"/>
      <c r="M10" s="49" t="n"/>
      <c r="N10" s="49" t="n"/>
      <c r="O10" s="49" t="n"/>
      <c r="P10" s="50" t="n"/>
      <c r="Q10" s="49" t="n"/>
      <c r="R10" s="56">
        <f>IF(Q10="","",IFERROR(VLOOKUP(Q10,Lookups!$A$2:$B$8,2,FALSE),""))</f>
        <v/>
      </c>
      <c r="S10" s="53">
        <f>IF(B10="","",B10&amp;"|"&amp;TEXT(C10,"00"))</f>
        <v/>
      </c>
      <c r="T10" s="53">
        <f>IF(B10="","",B10&amp;"|"&amp;TEXT(C10-1,"00"))</f>
        <v/>
      </c>
      <c r="U10" s="53">
        <f>IFERROR(INDEX($Q:$Q,MATCH(T10,$S:$S,0)),"")</f>
        <v/>
      </c>
      <c r="V10" s="56">
        <f>IFERROR(INDEX($R:$R,MATCH(T10,$S:$S,0)),"")</f>
        <v/>
      </c>
      <c r="W10" s="56">
        <f>IF(U10="","",IF(Q10&lt;&gt;U10,1,0))</f>
        <v/>
      </c>
      <c r="X10" s="56">
        <f>IF(V10="","",IF(R10&lt;V10,1,0))</f>
        <v/>
      </c>
      <c r="Y10" s="56">
        <f>IF(V10="","",IF(R10&gt;V10,1,0))</f>
        <v/>
      </c>
      <c r="Z10" s="56">
        <f>IF(Q10="Pass",1,0)</f>
        <v/>
      </c>
      <c r="AA10" s="50" t="n"/>
      <c r="AB10" s="50" t="n"/>
      <c r="AC10" s="49" t="n"/>
      <c r="AD10" s="50" t="n"/>
      <c r="AE10" s="49" t="n"/>
    </row>
    <row r="11">
      <c r="A11" s="48" t="n"/>
      <c r="B11" s="48" t="n"/>
      <c r="C11" s="47" t="n"/>
      <c r="D11" s="48" t="n"/>
      <c r="E11" s="48" t="n"/>
      <c r="F11" s="48" t="n"/>
      <c r="G11" s="47" t="n"/>
      <c r="H11" s="50" t="n"/>
      <c r="I11" s="50" t="n"/>
      <c r="J11" s="50" t="n"/>
      <c r="K11" s="50" t="n"/>
      <c r="L11" s="49" t="n"/>
      <c r="M11" s="49" t="n"/>
      <c r="N11" s="49" t="n"/>
      <c r="O11" s="49" t="n"/>
      <c r="P11" s="50" t="n"/>
      <c r="Q11" s="49" t="n"/>
      <c r="R11" s="56">
        <f>IF(Q11="","",IFERROR(VLOOKUP(Q11,Lookups!$A$2:$B$8,2,FALSE),""))</f>
        <v/>
      </c>
      <c r="S11" s="53">
        <f>IF(B11="","",B11&amp;"|"&amp;TEXT(C11,"00"))</f>
        <v/>
      </c>
      <c r="T11" s="53">
        <f>IF(B11="","",B11&amp;"|"&amp;TEXT(C11-1,"00"))</f>
        <v/>
      </c>
      <c r="U11" s="53">
        <f>IFERROR(INDEX($Q:$Q,MATCH(T11,$S:$S,0)),"")</f>
        <v/>
      </c>
      <c r="V11" s="56">
        <f>IFERROR(INDEX($R:$R,MATCH(T11,$S:$S,0)),"")</f>
        <v/>
      </c>
      <c r="W11" s="56">
        <f>IF(U11="","",IF(Q11&lt;&gt;U11,1,0))</f>
        <v/>
      </c>
      <c r="X11" s="56">
        <f>IF(V11="","",IF(R11&lt;V11,1,0))</f>
        <v/>
      </c>
      <c r="Y11" s="56">
        <f>IF(V11="","",IF(R11&gt;V11,1,0))</f>
        <v/>
      </c>
      <c r="Z11" s="56">
        <f>IF(Q11="Pass",1,0)</f>
        <v/>
      </c>
      <c r="AA11" s="50" t="n"/>
      <c r="AB11" s="50" t="n"/>
      <c r="AC11" s="49" t="n"/>
      <c r="AD11" s="50" t="n"/>
      <c r="AE11" s="49" t="n"/>
    </row>
    <row r="12">
      <c r="A12" s="48" t="n"/>
      <c r="B12" s="48" t="n"/>
      <c r="C12" s="47" t="n"/>
      <c r="D12" s="48" t="n"/>
      <c r="E12" s="48" t="n"/>
      <c r="F12" s="48" t="n"/>
      <c r="G12" s="47" t="n"/>
      <c r="H12" s="50" t="n"/>
      <c r="I12" s="50" t="n"/>
      <c r="J12" s="50" t="n"/>
      <c r="K12" s="50" t="n"/>
      <c r="L12" s="49" t="n"/>
      <c r="M12" s="49" t="n"/>
      <c r="N12" s="49" t="n"/>
      <c r="O12" s="49" t="n"/>
      <c r="P12" s="50" t="n"/>
      <c r="Q12" s="49" t="n"/>
      <c r="R12" s="56">
        <f>IF(Q12="","",IFERROR(VLOOKUP(Q12,Lookups!$A$2:$B$8,2,FALSE),""))</f>
        <v/>
      </c>
      <c r="S12" s="53">
        <f>IF(B12="","",B12&amp;"|"&amp;TEXT(C12,"00"))</f>
        <v/>
      </c>
      <c r="T12" s="53">
        <f>IF(B12="","",B12&amp;"|"&amp;TEXT(C12-1,"00"))</f>
        <v/>
      </c>
      <c r="U12" s="53">
        <f>IFERROR(INDEX($Q:$Q,MATCH(T12,$S:$S,0)),"")</f>
        <v/>
      </c>
      <c r="V12" s="56">
        <f>IFERROR(INDEX($R:$R,MATCH(T12,$S:$S,0)),"")</f>
        <v/>
      </c>
      <c r="W12" s="56">
        <f>IF(U12="","",IF(Q12&lt;&gt;U12,1,0))</f>
        <v/>
      </c>
      <c r="X12" s="56">
        <f>IF(V12="","",IF(R12&lt;V12,1,0))</f>
        <v/>
      </c>
      <c r="Y12" s="56">
        <f>IF(V12="","",IF(R12&gt;V12,1,0))</f>
        <v/>
      </c>
      <c r="Z12" s="56">
        <f>IF(Q12="Pass",1,0)</f>
        <v/>
      </c>
      <c r="AA12" s="50" t="n"/>
      <c r="AB12" s="50" t="n"/>
      <c r="AC12" s="49" t="n"/>
      <c r="AD12" s="50" t="n"/>
      <c r="AE12" s="49" t="n"/>
    </row>
    <row r="13">
      <c r="A13" s="48" t="n"/>
      <c r="B13" s="48" t="n"/>
      <c r="C13" s="47" t="n"/>
      <c r="D13" s="48" t="n"/>
      <c r="E13" s="48" t="n"/>
      <c r="F13" s="48" t="n"/>
      <c r="G13" s="47" t="n"/>
      <c r="H13" s="50" t="n"/>
      <c r="I13" s="50" t="n"/>
      <c r="J13" s="50" t="n"/>
      <c r="K13" s="50" t="n"/>
      <c r="L13" s="49" t="n"/>
      <c r="M13" s="49" t="n"/>
      <c r="N13" s="49" t="n"/>
      <c r="O13" s="49" t="n"/>
      <c r="P13" s="50" t="n"/>
      <c r="Q13" s="49" t="n"/>
      <c r="R13" s="56">
        <f>IF(Q13="","",IFERROR(VLOOKUP(Q13,Lookups!$A$2:$B$8,2,FALSE),""))</f>
        <v/>
      </c>
      <c r="S13" s="53">
        <f>IF(B13="","",B13&amp;"|"&amp;TEXT(C13,"00"))</f>
        <v/>
      </c>
      <c r="T13" s="53">
        <f>IF(B13="","",B13&amp;"|"&amp;TEXT(C13-1,"00"))</f>
        <v/>
      </c>
      <c r="U13" s="53">
        <f>IFERROR(INDEX($Q:$Q,MATCH(T13,$S:$S,0)),"")</f>
        <v/>
      </c>
      <c r="V13" s="56">
        <f>IFERROR(INDEX($R:$R,MATCH(T13,$S:$S,0)),"")</f>
        <v/>
      </c>
      <c r="W13" s="56">
        <f>IF(U13="","",IF(Q13&lt;&gt;U13,1,0))</f>
        <v/>
      </c>
      <c r="X13" s="56">
        <f>IF(V13="","",IF(R13&lt;V13,1,0))</f>
        <v/>
      </c>
      <c r="Y13" s="56">
        <f>IF(V13="","",IF(R13&gt;V13,1,0))</f>
        <v/>
      </c>
      <c r="Z13" s="56">
        <f>IF(Q13="Pass",1,0)</f>
        <v/>
      </c>
      <c r="AA13" s="50" t="n"/>
      <c r="AB13" s="50" t="n"/>
      <c r="AC13" s="49" t="n"/>
      <c r="AD13" s="50" t="n"/>
      <c r="AE13" s="49" t="n"/>
    </row>
    <row r="14">
      <c r="A14" s="48" t="n"/>
      <c r="B14" s="48" t="n"/>
      <c r="C14" s="47" t="n"/>
      <c r="D14" s="48" t="n"/>
      <c r="E14" s="48" t="n"/>
      <c r="F14" s="48" t="n"/>
      <c r="G14" s="47" t="n"/>
      <c r="H14" s="50" t="n"/>
      <c r="I14" s="50" t="n"/>
      <c r="J14" s="50" t="n"/>
      <c r="K14" s="50" t="n"/>
      <c r="L14" s="49" t="n"/>
      <c r="M14" s="49" t="n"/>
      <c r="N14" s="49" t="n"/>
      <c r="O14" s="49" t="n"/>
      <c r="P14" s="50" t="n"/>
      <c r="Q14" s="49" t="n"/>
      <c r="R14" s="56">
        <f>IF(Q14="","",IFERROR(VLOOKUP(Q14,Lookups!$A$2:$B$8,2,FALSE),""))</f>
        <v/>
      </c>
      <c r="S14" s="53">
        <f>IF(B14="","",B14&amp;"|"&amp;TEXT(C14,"00"))</f>
        <v/>
      </c>
      <c r="T14" s="53">
        <f>IF(B14="","",B14&amp;"|"&amp;TEXT(C14-1,"00"))</f>
        <v/>
      </c>
      <c r="U14" s="53">
        <f>IFERROR(INDEX($Q:$Q,MATCH(T14,$S:$S,0)),"")</f>
        <v/>
      </c>
      <c r="V14" s="56">
        <f>IFERROR(INDEX($R:$R,MATCH(T14,$S:$S,0)),"")</f>
        <v/>
      </c>
      <c r="W14" s="56">
        <f>IF(U14="","",IF(Q14&lt;&gt;U14,1,0))</f>
        <v/>
      </c>
      <c r="X14" s="56">
        <f>IF(V14="","",IF(R14&lt;V14,1,0))</f>
        <v/>
      </c>
      <c r="Y14" s="56">
        <f>IF(V14="","",IF(R14&gt;V14,1,0))</f>
        <v/>
      </c>
      <c r="Z14" s="56">
        <f>IF(Q14="Pass",1,0)</f>
        <v/>
      </c>
      <c r="AA14" s="50" t="n"/>
      <c r="AB14" s="50" t="n"/>
      <c r="AC14" s="49" t="n"/>
      <c r="AD14" s="50" t="n"/>
      <c r="AE14" s="49" t="n"/>
    </row>
    <row r="15">
      <c r="A15" s="48" t="n"/>
      <c r="B15" s="48" t="n"/>
      <c r="C15" s="47" t="n"/>
      <c r="D15" s="48" t="n"/>
      <c r="E15" s="48" t="n"/>
      <c r="F15" s="48" t="n"/>
      <c r="G15" s="47" t="n"/>
      <c r="H15" s="50" t="n"/>
      <c r="I15" s="50" t="n"/>
      <c r="J15" s="50" t="n"/>
      <c r="K15" s="50" t="n"/>
      <c r="L15" s="49" t="n"/>
      <c r="M15" s="49" t="n"/>
      <c r="N15" s="49" t="n"/>
      <c r="O15" s="49" t="n"/>
      <c r="P15" s="50" t="n"/>
      <c r="Q15" s="49" t="n"/>
      <c r="R15" s="56">
        <f>IF(Q15="","",IFERROR(VLOOKUP(Q15,Lookups!$A$2:$B$8,2,FALSE),""))</f>
        <v/>
      </c>
      <c r="S15" s="53">
        <f>IF(B15="","",B15&amp;"|"&amp;TEXT(C15,"00"))</f>
        <v/>
      </c>
      <c r="T15" s="53">
        <f>IF(B15="","",B15&amp;"|"&amp;TEXT(C15-1,"00"))</f>
        <v/>
      </c>
      <c r="U15" s="53">
        <f>IFERROR(INDEX($Q:$Q,MATCH(T15,$S:$S,0)),"")</f>
        <v/>
      </c>
      <c r="V15" s="56">
        <f>IFERROR(INDEX($R:$R,MATCH(T15,$S:$S,0)),"")</f>
        <v/>
      </c>
      <c r="W15" s="56">
        <f>IF(U15="","",IF(Q15&lt;&gt;U15,1,0))</f>
        <v/>
      </c>
      <c r="X15" s="56">
        <f>IF(V15="","",IF(R15&lt;V15,1,0))</f>
        <v/>
      </c>
      <c r="Y15" s="56">
        <f>IF(V15="","",IF(R15&gt;V15,1,0))</f>
        <v/>
      </c>
      <c r="Z15" s="56">
        <f>IF(Q15="Pass",1,0)</f>
        <v/>
      </c>
      <c r="AA15" s="50" t="n"/>
      <c r="AB15" s="50" t="n"/>
      <c r="AC15" s="49" t="n"/>
      <c r="AD15" s="50" t="n"/>
      <c r="AE15" s="49" t="n"/>
    </row>
    <row r="16">
      <c r="A16" s="48" t="n"/>
      <c r="B16" s="48" t="n"/>
      <c r="C16" s="47" t="n"/>
      <c r="D16" s="48" t="n"/>
      <c r="E16" s="48" t="n"/>
      <c r="F16" s="48" t="n"/>
      <c r="G16" s="47" t="n"/>
      <c r="H16" s="50" t="n"/>
      <c r="I16" s="50" t="n"/>
      <c r="J16" s="50" t="n"/>
      <c r="K16" s="50" t="n"/>
      <c r="L16" s="49" t="n"/>
      <c r="M16" s="49" t="n"/>
      <c r="N16" s="49" t="n"/>
      <c r="O16" s="49" t="n"/>
      <c r="P16" s="50" t="n"/>
      <c r="Q16" s="49" t="n"/>
      <c r="R16" s="56">
        <f>IF(Q16="","",IFERROR(VLOOKUP(Q16,Lookups!$A$2:$B$8,2,FALSE),""))</f>
        <v/>
      </c>
      <c r="S16" s="53">
        <f>IF(B16="","",B16&amp;"|"&amp;TEXT(C16,"00"))</f>
        <v/>
      </c>
      <c r="T16" s="53">
        <f>IF(B16="","",B16&amp;"|"&amp;TEXT(C16-1,"00"))</f>
        <v/>
      </c>
      <c r="U16" s="53">
        <f>IFERROR(INDEX($Q:$Q,MATCH(T16,$S:$S,0)),"")</f>
        <v/>
      </c>
      <c r="V16" s="56">
        <f>IFERROR(INDEX($R:$R,MATCH(T16,$S:$S,0)),"")</f>
        <v/>
      </c>
      <c r="W16" s="56">
        <f>IF(U16="","",IF(Q16&lt;&gt;U16,1,0))</f>
        <v/>
      </c>
      <c r="X16" s="56">
        <f>IF(V16="","",IF(R16&lt;V16,1,0))</f>
        <v/>
      </c>
      <c r="Y16" s="56">
        <f>IF(V16="","",IF(R16&gt;V16,1,0))</f>
        <v/>
      </c>
      <c r="Z16" s="56">
        <f>IF(Q16="Pass",1,0)</f>
        <v/>
      </c>
      <c r="AA16" s="50" t="n"/>
      <c r="AB16" s="50" t="n"/>
      <c r="AC16" s="49" t="n"/>
      <c r="AD16" s="50" t="n"/>
      <c r="AE16" s="49" t="n"/>
    </row>
    <row r="17">
      <c r="A17" s="48" t="n"/>
      <c r="B17" s="48" t="n"/>
      <c r="C17" s="47" t="n"/>
      <c r="D17" s="48" t="n"/>
      <c r="E17" s="48" t="n"/>
      <c r="F17" s="48" t="n"/>
      <c r="G17" s="47" t="n"/>
      <c r="H17" s="50" t="n"/>
      <c r="I17" s="50" t="n"/>
      <c r="J17" s="50" t="n"/>
      <c r="K17" s="50" t="n"/>
      <c r="L17" s="49" t="n"/>
      <c r="M17" s="49" t="n"/>
      <c r="N17" s="49" t="n"/>
      <c r="O17" s="49" t="n"/>
      <c r="P17" s="50" t="n"/>
      <c r="Q17" s="49" t="n"/>
      <c r="R17" s="56">
        <f>IF(Q17="","",IFERROR(VLOOKUP(Q17,Lookups!$A$2:$B$8,2,FALSE),""))</f>
        <v/>
      </c>
      <c r="S17" s="53">
        <f>IF(B17="","",B17&amp;"|"&amp;TEXT(C17,"00"))</f>
        <v/>
      </c>
      <c r="T17" s="53">
        <f>IF(B17="","",B17&amp;"|"&amp;TEXT(C17-1,"00"))</f>
        <v/>
      </c>
      <c r="U17" s="53">
        <f>IFERROR(INDEX($Q:$Q,MATCH(T17,$S:$S,0)),"")</f>
        <v/>
      </c>
      <c r="V17" s="56">
        <f>IFERROR(INDEX($R:$R,MATCH(T17,$S:$S,0)),"")</f>
        <v/>
      </c>
      <c r="W17" s="56">
        <f>IF(U17="","",IF(Q17&lt;&gt;U17,1,0))</f>
        <v/>
      </c>
      <c r="X17" s="56">
        <f>IF(V17="","",IF(R17&lt;V17,1,0))</f>
        <v/>
      </c>
      <c r="Y17" s="56">
        <f>IF(V17="","",IF(R17&gt;V17,1,0))</f>
        <v/>
      </c>
      <c r="Z17" s="56">
        <f>IF(Q17="Pass",1,0)</f>
        <v/>
      </c>
      <c r="AA17" s="50" t="n"/>
      <c r="AB17" s="50" t="n"/>
      <c r="AC17" s="49" t="n"/>
      <c r="AD17" s="50" t="n"/>
      <c r="AE17" s="49" t="n"/>
    </row>
    <row r="18">
      <c r="A18" s="48" t="n"/>
      <c r="B18" s="48" t="n"/>
      <c r="C18" s="47" t="n"/>
      <c r="D18" s="48" t="n"/>
      <c r="E18" s="48" t="n"/>
      <c r="F18" s="48" t="n"/>
      <c r="G18" s="47" t="n"/>
      <c r="H18" s="50" t="n"/>
      <c r="I18" s="50" t="n"/>
      <c r="J18" s="50" t="n"/>
      <c r="K18" s="50" t="n"/>
      <c r="L18" s="49" t="n"/>
      <c r="M18" s="49" t="n"/>
      <c r="N18" s="49" t="n"/>
      <c r="O18" s="49" t="n"/>
      <c r="P18" s="50" t="n"/>
      <c r="Q18" s="49" t="n"/>
      <c r="R18" s="56">
        <f>IF(Q18="","",IFERROR(VLOOKUP(Q18,Lookups!$A$2:$B$8,2,FALSE),""))</f>
        <v/>
      </c>
      <c r="S18" s="53">
        <f>IF(B18="","",B18&amp;"|"&amp;TEXT(C18,"00"))</f>
        <v/>
      </c>
      <c r="T18" s="53">
        <f>IF(B18="","",B18&amp;"|"&amp;TEXT(C18-1,"00"))</f>
        <v/>
      </c>
      <c r="U18" s="53">
        <f>IFERROR(INDEX($Q:$Q,MATCH(T18,$S:$S,0)),"")</f>
        <v/>
      </c>
      <c r="V18" s="56">
        <f>IFERROR(INDEX($R:$R,MATCH(T18,$S:$S,0)),"")</f>
        <v/>
      </c>
      <c r="W18" s="56">
        <f>IF(U18="","",IF(Q18&lt;&gt;U18,1,0))</f>
        <v/>
      </c>
      <c r="X18" s="56">
        <f>IF(V18="","",IF(R18&lt;V18,1,0))</f>
        <v/>
      </c>
      <c r="Y18" s="56">
        <f>IF(V18="","",IF(R18&gt;V18,1,0))</f>
        <v/>
      </c>
      <c r="Z18" s="56">
        <f>IF(Q18="Pass",1,0)</f>
        <v/>
      </c>
      <c r="AA18" s="50" t="n"/>
      <c r="AB18" s="50" t="n"/>
      <c r="AC18" s="49" t="n"/>
      <c r="AD18" s="50" t="n"/>
      <c r="AE18" s="49" t="n"/>
    </row>
    <row r="19">
      <c r="A19" s="48" t="n"/>
      <c r="B19" s="48" t="n"/>
      <c r="C19" s="47" t="n"/>
      <c r="D19" s="48" t="n"/>
      <c r="E19" s="48" t="n"/>
      <c r="F19" s="48" t="n"/>
      <c r="G19" s="47" t="n"/>
      <c r="H19" s="50" t="n"/>
      <c r="I19" s="50" t="n"/>
      <c r="J19" s="50" t="n"/>
      <c r="K19" s="50" t="n"/>
      <c r="L19" s="49" t="n"/>
      <c r="M19" s="49" t="n"/>
      <c r="N19" s="49" t="n"/>
      <c r="O19" s="49" t="n"/>
      <c r="P19" s="50" t="n"/>
      <c r="Q19" s="49" t="n"/>
      <c r="R19" s="56">
        <f>IF(Q19="","",IFERROR(VLOOKUP(Q19,Lookups!$A$2:$B$8,2,FALSE),""))</f>
        <v/>
      </c>
      <c r="S19" s="53">
        <f>IF(B19="","",B19&amp;"|"&amp;TEXT(C19,"00"))</f>
        <v/>
      </c>
      <c r="T19" s="53">
        <f>IF(B19="","",B19&amp;"|"&amp;TEXT(C19-1,"00"))</f>
        <v/>
      </c>
      <c r="U19" s="53">
        <f>IFERROR(INDEX($Q:$Q,MATCH(T19,$S:$S,0)),"")</f>
        <v/>
      </c>
      <c r="V19" s="56">
        <f>IFERROR(INDEX($R:$R,MATCH(T19,$S:$S,0)),"")</f>
        <v/>
      </c>
      <c r="W19" s="56">
        <f>IF(U19="","",IF(Q19&lt;&gt;U19,1,0))</f>
        <v/>
      </c>
      <c r="X19" s="56">
        <f>IF(V19="","",IF(R19&lt;V19,1,0))</f>
        <v/>
      </c>
      <c r="Y19" s="56">
        <f>IF(V19="","",IF(R19&gt;V19,1,0))</f>
        <v/>
      </c>
      <c r="Z19" s="56">
        <f>IF(Q19="Pass",1,0)</f>
        <v/>
      </c>
      <c r="AA19" s="50" t="n"/>
      <c r="AB19" s="50" t="n"/>
      <c r="AC19" s="49" t="n"/>
      <c r="AD19" s="50" t="n"/>
      <c r="AE19" s="49" t="n"/>
    </row>
    <row r="20">
      <c r="A20" s="48" t="n"/>
      <c r="B20" s="48" t="n"/>
      <c r="C20" s="47" t="n"/>
      <c r="D20" s="48" t="n"/>
      <c r="E20" s="48" t="n"/>
      <c r="F20" s="48" t="n"/>
      <c r="G20" s="47" t="n"/>
      <c r="H20" s="50" t="n"/>
      <c r="I20" s="50" t="n"/>
      <c r="J20" s="50" t="n"/>
      <c r="K20" s="50" t="n"/>
      <c r="L20" s="49" t="n"/>
      <c r="M20" s="49" t="n"/>
      <c r="N20" s="49" t="n"/>
      <c r="O20" s="49" t="n"/>
      <c r="P20" s="50" t="n"/>
      <c r="Q20" s="49" t="n"/>
      <c r="R20" s="56">
        <f>IF(Q20="","",IFERROR(VLOOKUP(Q20,Lookups!$A$2:$B$8,2,FALSE),""))</f>
        <v/>
      </c>
      <c r="S20" s="53">
        <f>IF(B20="","",B20&amp;"|"&amp;TEXT(C20,"00"))</f>
        <v/>
      </c>
      <c r="T20" s="53">
        <f>IF(B20="","",B20&amp;"|"&amp;TEXT(C20-1,"00"))</f>
        <v/>
      </c>
      <c r="U20" s="53">
        <f>IFERROR(INDEX($Q:$Q,MATCH(T20,$S:$S,0)),"")</f>
        <v/>
      </c>
      <c r="V20" s="56">
        <f>IFERROR(INDEX($R:$R,MATCH(T20,$S:$S,0)),"")</f>
        <v/>
      </c>
      <c r="W20" s="56">
        <f>IF(U20="","",IF(Q20&lt;&gt;U20,1,0))</f>
        <v/>
      </c>
      <c r="X20" s="56">
        <f>IF(V20="","",IF(R20&lt;V20,1,0))</f>
        <v/>
      </c>
      <c r="Y20" s="56">
        <f>IF(V20="","",IF(R20&gt;V20,1,0))</f>
        <v/>
      </c>
      <c r="Z20" s="56">
        <f>IF(Q20="Pass",1,0)</f>
        <v/>
      </c>
      <c r="AA20" s="50" t="n"/>
      <c r="AB20" s="50" t="n"/>
      <c r="AC20" s="49" t="n"/>
      <c r="AD20" s="50" t="n"/>
      <c r="AE20" s="49" t="n"/>
    </row>
    <row r="21" ht="15.75" customHeight="1" s="40">
      <c r="A21" s="48" t="n"/>
      <c r="B21" s="48" t="n"/>
      <c r="C21" s="47" t="n"/>
      <c r="D21" s="48" t="n"/>
      <c r="E21" s="48" t="n"/>
      <c r="F21" s="48" t="n"/>
      <c r="G21" s="47" t="n"/>
      <c r="H21" s="50" t="n"/>
      <c r="I21" s="50" t="n"/>
      <c r="J21" s="50" t="n"/>
      <c r="K21" s="50" t="n"/>
      <c r="L21" s="49" t="n"/>
      <c r="M21" s="49" t="n"/>
      <c r="N21" s="49" t="n"/>
      <c r="O21" s="49" t="n"/>
      <c r="P21" s="50" t="n"/>
      <c r="Q21" s="49" t="n"/>
      <c r="R21" s="56">
        <f>IF(Q21="","",IFERROR(VLOOKUP(Q21,Lookups!$A$2:$B$8,2,FALSE),""))</f>
        <v/>
      </c>
      <c r="S21" s="53">
        <f>IF(B21="","",B21&amp;"|"&amp;TEXT(C21,"00"))</f>
        <v/>
      </c>
      <c r="T21" s="53">
        <f>IF(B21="","",B21&amp;"|"&amp;TEXT(C21-1,"00"))</f>
        <v/>
      </c>
      <c r="U21" s="53">
        <f>IFERROR(INDEX($Q:$Q,MATCH(T21,$S:$S,0)),"")</f>
        <v/>
      </c>
      <c r="V21" s="56">
        <f>IFERROR(INDEX($R:$R,MATCH(T21,$S:$S,0)),"")</f>
        <v/>
      </c>
      <c r="W21" s="56">
        <f>IF(U21="","",IF(Q21&lt;&gt;U21,1,0))</f>
        <v/>
      </c>
      <c r="X21" s="56">
        <f>IF(V21="","",IF(R21&lt;V21,1,0))</f>
        <v/>
      </c>
      <c r="Y21" s="56">
        <f>IF(V21="","",IF(R21&gt;V21,1,0))</f>
        <v/>
      </c>
      <c r="Z21" s="56">
        <f>IF(Q21="Pass",1,0)</f>
        <v/>
      </c>
      <c r="AA21" s="50" t="n"/>
      <c r="AB21" s="50" t="n"/>
      <c r="AC21" s="49" t="n"/>
      <c r="AD21" s="50" t="n"/>
      <c r="AE21" s="49" t="n"/>
    </row>
    <row r="22" ht="15.75" customHeight="1" s="40">
      <c r="A22" s="48" t="n"/>
      <c r="B22" s="48" t="n"/>
      <c r="C22" s="47" t="n"/>
      <c r="D22" s="48" t="n"/>
      <c r="E22" s="48" t="n"/>
      <c r="F22" s="48" t="n"/>
      <c r="G22" s="47" t="n"/>
      <c r="H22" s="50" t="n"/>
      <c r="I22" s="50" t="n"/>
      <c r="J22" s="50" t="n"/>
      <c r="K22" s="50" t="n"/>
      <c r="L22" s="49" t="n"/>
      <c r="M22" s="49" t="n"/>
      <c r="N22" s="49" t="n"/>
      <c r="O22" s="49" t="n"/>
      <c r="P22" s="50" t="n"/>
      <c r="Q22" s="49" t="n"/>
      <c r="R22" s="56">
        <f>IF(Q22="","",IFERROR(VLOOKUP(Q22,Lookups!$A$2:$B$8,2,FALSE),""))</f>
        <v/>
      </c>
      <c r="S22" s="53">
        <f>IF(B22="","",B22&amp;"|"&amp;TEXT(C22,"00"))</f>
        <v/>
      </c>
      <c r="T22" s="53">
        <f>IF(B22="","",B22&amp;"|"&amp;TEXT(C22-1,"00"))</f>
        <v/>
      </c>
      <c r="U22" s="53">
        <f>IFERROR(INDEX($Q:$Q,MATCH(T22,$S:$S,0)),"")</f>
        <v/>
      </c>
      <c r="V22" s="56">
        <f>IFERROR(INDEX($R:$R,MATCH(T22,$S:$S,0)),"")</f>
        <v/>
      </c>
      <c r="W22" s="56">
        <f>IF(U22="","",IF(Q22&lt;&gt;U22,1,0))</f>
        <v/>
      </c>
      <c r="X22" s="56">
        <f>IF(V22="","",IF(R22&lt;V22,1,0))</f>
        <v/>
      </c>
      <c r="Y22" s="56">
        <f>IF(V22="","",IF(R22&gt;V22,1,0))</f>
        <v/>
      </c>
      <c r="Z22" s="56">
        <f>IF(Q22="Pass",1,0)</f>
        <v/>
      </c>
      <c r="AA22" s="50" t="n"/>
      <c r="AB22" s="50" t="n"/>
      <c r="AC22" s="49" t="n"/>
      <c r="AD22" s="50" t="n"/>
      <c r="AE22" s="49" t="n"/>
    </row>
    <row r="23" ht="15.75" customHeight="1" s="40">
      <c r="A23" s="48" t="n"/>
      <c r="B23" s="48" t="n"/>
      <c r="C23" s="47" t="n"/>
      <c r="D23" s="48" t="n"/>
      <c r="E23" s="48" t="n"/>
      <c r="F23" s="48" t="n"/>
      <c r="G23" s="47" t="n"/>
      <c r="H23" s="50" t="n"/>
      <c r="I23" s="50" t="n"/>
      <c r="J23" s="50" t="n"/>
      <c r="K23" s="50" t="n"/>
      <c r="L23" s="49" t="n"/>
      <c r="M23" s="49" t="n"/>
      <c r="N23" s="49" t="n"/>
      <c r="O23" s="49" t="n"/>
      <c r="P23" s="50" t="n"/>
      <c r="Q23" s="49" t="n"/>
      <c r="R23" s="56">
        <f>IF(Q23="","",IFERROR(VLOOKUP(Q23,Lookups!$A$2:$B$8,2,FALSE),""))</f>
        <v/>
      </c>
      <c r="S23" s="53">
        <f>IF(B23="","",B23&amp;"|"&amp;TEXT(C23,"00"))</f>
        <v/>
      </c>
      <c r="T23" s="53">
        <f>IF(B23="","",B23&amp;"|"&amp;TEXT(C23-1,"00"))</f>
        <v/>
      </c>
      <c r="U23" s="53">
        <f>IFERROR(INDEX($Q:$Q,MATCH(T23,$S:$S,0)),"")</f>
        <v/>
      </c>
      <c r="V23" s="56">
        <f>IFERROR(INDEX($R:$R,MATCH(T23,$S:$S,0)),"")</f>
        <v/>
      </c>
      <c r="W23" s="56">
        <f>IF(U23="","",IF(Q23&lt;&gt;U23,1,0))</f>
        <v/>
      </c>
      <c r="X23" s="56">
        <f>IF(V23="","",IF(R23&lt;V23,1,0))</f>
        <v/>
      </c>
      <c r="Y23" s="56">
        <f>IF(V23="","",IF(R23&gt;V23,1,0))</f>
        <v/>
      </c>
      <c r="Z23" s="56">
        <f>IF(Q23="Pass",1,0)</f>
        <v/>
      </c>
      <c r="AA23" s="50" t="n"/>
      <c r="AB23" s="50" t="n"/>
      <c r="AC23" s="49" t="n"/>
      <c r="AD23" s="50" t="n"/>
      <c r="AE23" s="49" t="n"/>
    </row>
    <row r="24" ht="15.75" customHeight="1" s="40">
      <c r="A24" s="48" t="n"/>
      <c r="B24" s="48" t="n"/>
      <c r="C24" s="47" t="n"/>
      <c r="D24" s="48" t="n"/>
      <c r="E24" s="48" t="n"/>
      <c r="F24" s="48" t="n"/>
      <c r="G24" s="47" t="n"/>
      <c r="H24" s="50" t="n"/>
      <c r="I24" s="50" t="n"/>
      <c r="J24" s="50" t="n"/>
      <c r="K24" s="50" t="n"/>
      <c r="L24" s="49" t="n"/>
      <c r="M24" s="49" t="n"/>
      <c r="N24" s="49" t="n"/>
      <c r="O24" s="49" t="n"/>
      <c r="P24" s="50" t="n"/>
      <c r="Q24" s="49" t="n"/>
      <c r="R24" s="56">
        <f>IF(Q24="","",IFERROR(VLOOKUP(Q24,Lookups!$A$2:$B$8,2,FALSE),""))</f>
        <v/>
      </c>
      <c r="S24" s="53">
        <f>IF(B24="","",B24&amp;"|"&amp;TEXT(C24,"00"))</f>
        <v/>
      </c>
      <c r="T24" s="53">
        <f>IF(B24="","",B24&amp;"|"&amp;TEXT(C24-1,"00"))</f>
        <v/>
      </c>
      <c r="U24" s="53">
        <f>IFERROR(INDEX($Q:$Q,MATCH(T24,$S:$S,0)),"")</f>
        <v/>
      </c>
      <c r="V24" s="56">
        <f>IFERROR(INDEX($R:$R,MATCH(T24,$S:$S,0)),"")</f>
        <v/>
      </c>
      <c r="W24" s="56">
        <f>IF(U24="","",IF(Q24&lt;&gt;U24,1,0))</f>
        <v/>
      </c>
      <c r="X24" s="56">
        <f>IF(V24="","",IF(R24&lt;V24,1,0))</f>
        <v/>
      </c>
      <c r="Y24" s="56">
        <f>IF(V24="","",IF(R24&gt;V24,1,0))</f>
        <v/>
      </c>
      <c r="Z24" s="56">
        <f>IF(Q24="Pass",1,0)</f>
        <v/>
      </c>
      <c r="AA24" s="50" t="n"/>
      <c r="AB24" s="50" t="n"/>
      <c r="AC24" s="49" t="n"/>
      <c r="AD24" s="50" t="n"/>
      <c r="AE24" s="49" t="n"/>
    </row>
    <row r="25" ht="15.75" customHeight="1" s="40">
      <c r="A25" s="48" t="n"/>
      <c r="B25" s="48" t="n"/>
      <c r="C25" s="47" t="n"/>
      <c r="D25" s="48" t="n"/>
      <c r="E25" s="48" t="n"/>
      <c r="F25" s="48" t="n"/>
      <c r="G25" s="47" t="n"/>
      <c r="H25" s="50" t="n"/>
      <c r="I25" s="50" t="n"/>
      <c r="J25" s="50" t="n"/>
      <c r="K25" s="50" t="n"/>
      <c r="L25" s="49" t="n"/>
      <c r="M25" s="49" t="n"/>
      <c r="N25" s="49" t="n"/>
      <c r="O25" s="49" t="n"/>
      <c r="P25" s="50" t="n"/>
      <c r="Q25" s="49" t="n"/>
      <c r="R25" s="56">
        <f>IF(Q25="","",IFERROR(VLOOKUP(Q25,Lookups!$A$2:$B$8,2,FALSE),""))</f>
        <v/>
      </c>
      <c r="S25" s="53">
        <f>IF(B25="","",B25&amp;"|"&amp;TEXT(C25,"00"))</f>
        <v/>
      </c>
      <c r="T25" s="53">
        <f>IF(B25="","",B25&amp;"|"&amp;TEXT(C25-1,"00"))</f>
        <v/>
      </c>
      <c r="U25" s="53">
        <f>IFERROR(INDEX($Q:$Q,MATCH(T25,$S:$S,0)),"")</f>
        <v/>
      </c>
      <c r="V25" s="56">
        <f>IFERROR(INDEX($R:$R,MATCH(T25,$S:$S,0)),"")</f>
        <v/>
      </c>
      <c r="W25" s="56">
        <f>IF(U25="","",IF(Q25&lt;&gt;U25,1,0))</f>
        <v/>
      </c>
      <c r="X25" s="56">
        <f>IF(V25="","",IF(R25&lt;V25,1,0))</f>
        <v/>
      </c>
      <c r="Y25" s="56">
        <f>IF(V25="","",IF(R25&gt;V25,1,0))</f>
        <v/>
      </c>
      <c r="Z25" s="56">
        <f>IF(Q25="Pass",1,0)</f>
        <v/>
      </c>
      <c r="AA25" s="50" t="n"/>
      <c r="AB25" s="50" t="n"/>
      <c r="AC25" s="49" t="n"/>
      <c r="AD25" s="50" t="n"/>
      <c r="AE25" s="49" t="n"/>
    </row>
    <row r="26" ht="15.75" customHeight="1" s="40">
      <c r="A26" s="48" t="n"/>
      <c r="B26" s="48" t="n"/>
      <c r="C26" s="47" t="n"/>
      <c r="D26" s="48" t="n"/>
      <c r="E26" s="48" t="n"/>
      <c r="F26" s="48" t="n"/>
      <c r="G26" s="47" t="n"/>
      <c r="H26" s="50" t="n"/>
      <c r="I26" s="50" t="n"/>
      <c r="J26" s="50" t="n"/>
      <c r="K26" s="50" t="n"/>
      <c r="L26" s="49" t="n"/>
      <c r="M26" s="49" t="n"/>
      <c r="N26" s="49" t="n"/>
      <c r="O26" s="49" t="n"/>
      <c r="P26" s="50" t="n"/>
      <c r="Q26" s="49" t="n"/>
      <c r="R26" s="56">
        <f>IF(Q26="","",IFERROR(VLOOKUP(Q26,Lookups!$A$2:$B$8,2,FALSE),""))</f>
        <v/>
      </c>
      <c r="S26" s="53">
        <f>IF(B26="","",B26&amp;"|"&amp;TEXT(C26,"00"))</f>
        <v/>
      </c>
      <c r="T26" s="53">
        <f>IF(B26="","",B26&amp;"|"&amp;TEXT(C26-1,"00"))</f>
        <v/>
      </c>
      <c r="U26" s="53">
        <f>IFERROR(INDEX($Q:$Q,MATCH(T26,$S:$S,0)),"")</f>
        <v/>
      </c>
      <c r="V26" s="56">
        <f>IFERROR(INDEX($R:$R,MATCH(T26,$S:$S,0)),"")</f>
        <v/>
      </c>
      <c r="W26" s="56">
        <f>IF(U26="","",IF(Q26&lt;&gt;U26,1,0))</f>
        <v/>
      </c>
      <c r="X26" s="56">
        <f>IF(V26="","",IF(R26&lt;V26,1,0))</f>
        <v/>
      </c>
      <c r="Y26" s="56">
        <f>IF(V26="","",IF(R26&gt;V26,1,0))</f>
        <v/>
      </c>
      <c r="Z26" s="56">
        <f>IF(Q26="Pass",1,0)</f>
        <v/>
      </c>
      <c r="AA26" s="50" t="n"/>
      <c r="AB26" s="50" t="n"/>
      <c r="AC26" s="49" t="n"/>
      <c r="AD26" s="50" t="n"/>
      <c r="AE26" s="49" t="n"/>
    </row>
    <row r="27" ht="15.75" customHeight="1" s="40">
      <c r="A27" s="48" t="n"/>
      <c r="B27" s="48" t="n"/>
      <c r="C27" s="47" t="n"/>
      <c r="D27" s="48" t="n"/>
      <c r="E27" s="48" t="n"/>
      <c r="F27" s="48" t="n"/>
      <c r="G27" s="47" t="n"/>
      <c r="H27" s="50" t="n"/>
      <c r="I27" s="50" t="n"/>
      <c r="J27" s="50" t="n"/>
      <c r="K27" s="50" t="n"/>
      <c r="L27" s="49" t="n"/>
      <c r="M27" s="49" t="n"/>
      <c r="N27" s="49" t="n"/>
      <c r="O27" s="49" t="n"/>
      <c r="P27" s="50" t="n"/>
      <c r="Q27" s="49" t="n"/>
      <c r="R27" s="56">
        <f>IF(Q27="","",IFERROR(VLOOKUP(Q27,Lookups!$A$2:$B$8,2,FALSE),""))</f>
        <v/>
      </c>
      <c r="S27" s="53">
        <f>IF(B27="","",B27&amp;"|"&amp;TEXT(C27,"00"))</f>
        <v/>
      </c>
      <c r="T27" s="53">
        <f>IF(B27="","",B27&amp;"|"&amp;TEXT(C27-1,"00"))</f>
        <v/>
      </c>
      <c r="U27" s="53">
        <f>IFERROR(INDEX($Q:$Q,MATCH(T27,$S:$S,0)),"")</f>
        <v/>
      </c>
      <c r="V27" s="56">
        <f>IFERROR(INDEX($R:$R,MATCH(T27,$S:$S,0)),"")</f>
        <v/>
      </c>
      <c r="W27" s="56">
        <f>IF(U27="","",IF(Q27&lt;&gt;U27,1,0))</f>
        <v/>
      </c>
      <c r="X27" s="56">
        <f>IF(V27="","",IF(R27&lt;V27,1,0))</f>
        <v/>
      </c>
      <c r="Y27" s="56">
        <f>IF(V27="","",IF(R27&gt;V27,1,0))</f>
        <v/>
      </c>
      <c r="Z27" s="56">
        <f>IF(Q27="Pass",1,0)</f>
        <v/>
      </c>
      <c r="AA27" s="50" t="n"/>
      <c r="AB27" s="50" t="n"/>
      <c r="AC27" s="49" t="n"/>
      <c r="AD27" s="50" t="n"/>
      <c r="AE27" s="49" t="n"/>
    </row>
    <row r="28" ht="15.75" customHeight="1" s="40">
      <c r="A28" s="48" t="n"/>
      <c r="B28" s="48" t="n"/>
      <c r="C28" s="47" t="n"/>
      <c r="D28" s="48" t="n"/>
      <c r="E28" s="48" t="n"/>
      <c r="F28" s="48" t="n"/>
      <c r="G28" s="47" t="n"/>
      <c r="H28" s="50" t="n"/>
      <c r="I28" s="50" t="n"/>
      <c r="J28" s="50" t="n"/>
      <c r="K28" s="50" t="n"/>
      <c r="L28" s="49" t="n"/>
      <c r="M28" s="49" t="n"/>
      <c r="N28" s="49" t="n"/>
      <c r="O28" s="49" t="n"/>
      <c r="P28" s="50" t="n"/>
      <c r="Q28" s="49" t="n"/>
      <c r="R28" s="56">
        <f>IF(Q28="","",IFERROR(VLOOKUP(Q28,Lookups!$A$2:$B$8,2,FALSE),""))</f>
        <v/>
      </c>
      <c r="S28" s="53">
        <f>IF(B28="","",B28&amp;"|"&amp;TEXT(C28,"00"))</f>
        <v/>
      </c>
      <c r="T28" s="53">
        <f>IF(B28="","",B28&amp;"|"&amp;TEXT(C28-1,"00"))</f>
        <v/>
      </c>
      <c r="U28" s="53">
        <f>IFERROR(INDEX($Q:$Q,MATCH(T28,$S:$S,0)),"")</f>
        <v/>
      </c>
      <c r="V28" s="56">
        <f>IFERROR(INDEX($R:$R,MATCH(T28,$S:$S,0)),"")</f>
        <v/>
      </c>
      <c r="W28" s="56">
        <f>IF(U28="","",IF(Q28&lt;&gt;U28,1,0))</f>
        <v/>
      </c>
      <c r="X28" s="56">
        <f>IF(V28="","",IF(R28&lt;V28,1,0))</f>
        <v/>
      </c>
      <c r="Y28" s="56">
        <f>IF(V28="","",IF(R28&gt;V28,1,0))</f>
        <v/>
      </c>
      <c r="Z28" s="56">
        <f>IF(Q28="Pass",1,0)</f>
        <v/>
      </c>
      <c r="AA28" s="50" t="n"/>
      <c r="AB28" s="50" t="n"/>
      <c r="AC28" s="49" t="n"/>
      <c r="AD28" s="50" t="n"/>
      <c r="AE28" s="49" t="n"/>
    </row>
    <row r="29" ht="15.75" customHeight="1" s="40">
      <c r="A29" s="48" t="n"/>
      <c r="B29" s="48" t="n"/>
      <c r="C29" s="47" t="n"/>
      <c r="D29" s="48" t="n"/>
      <c r="E29" s="48" t="n"/>
      <c r="F29" s="48" t="n"/>
      <c r="G29" s="47" t="n"/>
      <c r="H29" s="50" t="n"/>
      <c r="I29" s="50" t="n"/>
      <c r="J29" s="50" t="n"/>
      <c r="K29" s="50" t="n"/>
      <c r="L29" s="49" t="n"/>
      <c r="M29" s="49" t="n"/>
      <c r="N29" s="49" t="n"/>
      <c r="O29" s="49" t="n"/>
      <c r="P29" s="50" t="n"/>
      <c r="Q29" s="49" t="n"/>
      <c r="R29" s="56">
        <f>IF(Q29="","",IFERROR(VLOOKUP(Q29,Lookups!$A$2:$B$8,2,FALSE),""))</f>
        <v/>
      </c>
      <c r="S29" s="53">
        <f>IF(B29="","",B29&amp;"|"&amp;TEXT(C29,"00"))</f>
        <v/>
      </c>
      <c r="T29" s="53">
        <f>IF(B29="","",B29&amp;"|"&amp;TEXT(C29-1,"00"))</f>
        <v/>
      </c>
      <c r="U29" s="53">
        <f>IFERROR(INDEX($Q:$Q,MATCH(T29,$S:$S,0)),"")</f>
        <v/>
      </c>
      <c r="V29" s="56">
        <f>IFERROR(INDEX($R:$R,MATCH(T29,$S:$S,0)),"")</f>
        <v/>
      </c>
      <c r="W29" s="56">
        <f>IF(U29="","",IF(Q29&lt;&gt;U29,1,0))</f>
        <v/>
      </c>
      <c r="X29" s="56">
        <f>IF(V29="","",IF(R29&lt;V29,1,0))</f>
        <v/>
      </c>
      <c r="Y29" s="56">
        <f>IF(V29="","",IF(R29&gt;V29,1,0))</f>
        <v/>
      </c>
      <c r="Z29" s="56">
        <f>IF(Q29="Pass",1,0)</f>
        <v/>
      </c>
      <c r="AA29" s="50" t="n"/>
      <c r="AB29" s="50" t="n"/>
      <c r="AC29" s="49" t="n"/>
      <c r="AD29" s="50" t="n"/>
      <c r="AE29" s="49" t="n"/>
    </row>
    <row r="30" ht="15.75" customHeight="1" s="40">
      <c r="A30" s="48" t="n"/>
      <c r="B30" s="48" t="n"/>
      <c r="C30" s="47" t="n"/>
      <c r="D30" s="48" t="n"/>
      <c r="E30" s="48" t="n"/>
      <c r="F30" s="48" t="n"/>
      <c r="G30" s="47" t="n"/>
      <c r="H30" s="50" t="n"/>
      <c r="I30" s="50" t="n"/>
      <c r="J30" s="50" t="n"/>
      <c r="K30" s="50" t="n"/>
      <c r="L30" s="49" t="n"/>
      <c r="M30" s="49" t="n"/>
      <c r="N30" s="49" t="n"/>
      <c r="O30" s="49" t="n"/>
      <c r="P30" s="50" t="n"/>
      <c r="Q30" s="49" t="n"/>
      <c r="R30" s="56">
        <f>IF(Q30="","",IFERROR(VLOOKUP(Q30,Lookups!$A$2:$B$8,2,FALSE),""))</f>
        <v/>
      </c>
      <c r="S30" s="53">
        <f>IF(B30="","",B30&amp;"|"&amp;TEXT(C30,"00"))</f>
        <v/>
      </c>
      <c r="T30" s="53">
        <f>IF(B30="","",B30&amp;"|"&amp;TEXT(C30-1,"00"))</f>
        <v/>
      </c>
      <c r="U30" s="53">
        <f>IFERROR(INDEX($Q:$Q,MATCH(T30,$S:$S,0)),"")</f>
        <v/>
      </c>
      <c r="V30" s="56">
        <f>IFERROR(INDEX($R:$R,MATCH(T30,$S:$S,0)),"")</f>
        <v/>
      </c>
      <c r="W30" s="56">
        <f>IF(U30="","",IF(Q30&lt;&gt;U30,1,0))</f>
        <v/>
      </c>
      <c r="X30" s="56">
        <f>IF(V30="","",IF(R30&lt;V30,1,0))</f>
        <v/>
      </c>
      <c r="Y30" s="56">
        <f>IF(V30="","",IF(R30&gt;V30,1,0))</f>
        <v/>
      </c>
      <c r="Z30" s="56">
        <f>IF(Q30="Pass",1,0)</f>
        <v/>
      </c>
      <c r="AA30" s="50" t="n"/>
      <c r="AB30" s="50" t="n"/>
      <c r="AC30" s="49" t="n"/>
      <c r="AD30" s="50" t="n"/>
      <c r="AE30" s="49" t="n"/>
    </row>
    <row r="31" ht="15.75" customHeight="1" s="40">
      <c r="A31" s="48" t="n"/>
      <c r="B31" s="48" t="n"/>
      <c r="C31" s="47" t="n"/>
      <c r="D31" s="48" t="n"/>
      <c r="E31" s="48" t="n"/>
      <c r="F31" s="48" t="n"/>
      <c r="G31" s="47" t="n"/>
      <c r="H31" s="50" t="n"/>
      <c r="I31" s="50" t="n"/>
      <c r="J31" s="50" t="n"/>
      <c r="K31" s="50" t="n"/>
      <c r="L31" s="49" t="n"/>
      <c r="M31" s="49" t="n"/>
      <c r="N31" s="49" t="n"/>
      <c r="O31" s="49" t="n"/>
      <c r="P31" s="50" t="n"/>
      <c r="Q31" s="49" t="n"/>
      <c r="R31" s="56">
        <f>IF(Q31="","",IFERROR(VLOOKUP(Q31,Lookups!$A$2:$B$8,2,FALSE),""))</f>
        <v/>
      </c>
      <c r="S31" s="53">
        <f>IF(B31="","",B31&amp;"|"&amp;TEXT(C31,"00"))</f>
        <v/>
      </c>
      <c r="T31" s="53">
        <f>IF(B31="","",B31&amp;"|"&amp;TEXT(C31-1,"00"))</f>
        <v/>
      </c>
      <c r="U31" s="53">
        <f>IFERROR(INDEX($Q:$Q,MATCH(T31,$S:$S,0)),"")</f>
        <v/>
      </c>
      <c r="V31" s="56">
        <f>IFERROR(INDEX($R:$R,MATCH(T31,$S:$S,0)),"")</f>
        <v/>
      </c>
      <c r="W31" s="56">
        <f>IF(U31="","",IF(Q31&lt;&gt;U31,1,0))</f>
        <v/>
      </c>
      <c r="X31" s="56">
        <f>IF(V31="","",IF(R31&lt;V31,1,0))</f>
        <v/>
      </c>
      <c r="Y31" s="56">
        <f>IF(V31="","",IF(R31&gt;V31,1,0))</f>
        <v/>
      </c>
      <c r="Z31" s="56">
        <f>IF(Q31="Pass",1,0)</f>
        <v/>
      </c>
      <c r="AA31" s="50" t="n"/>
      <c r="AB31" s="50" t="n"/>
      <c r="AC31" s="49" t="n"/>
      <c r="AD31" s="50" t="n"/>
      <c r="AE31" s="49" t="n"/>
    </row>
    <row r="32" ht="15.75" customHeight="1" s="40">
      <c r="A32" s="48" t="n"/>
      <c r="B32" s="48" t="n"/>
      <c r="C32" s="47" t="n"/>
      <c r="D32" s="48" t="n"/>
      <c r="E32" s="48" t="n"/>
      <c r="F32" s="48" t="n"/>
      <c r="G32" s="47" t="n"/>
      <c r="H32" s="50" t="n"/>
      <c r="I32" s="50" t="n"/>
      <c r="J32" s="50" t="n"/>
      <c r="K32" s="50" t="n"/>
      <c r="L32" s="49" t="n"/>
      <c r="M32" s="49" t="n"/>
      <c r="N32" s="49" t="n"/>
      <c r="O32" s="49" t="n"/>
      <c r="P32" s="50" t="n"/>
      <c r="Q32" s="49" t="n"/>
      <c r="R32" s="56">
        <f>IF(Q32="","",IFERROR(VLOOKUP(Q32,Lookups!$A$2:$B$8,2,FALSE),""))</f>
        <v/>
      </c>
      <c r="S32" s="53">
        <f>IF(B32="","",B32&amp;"|"&amp;TEXT(C32,"00"))</f>
        <v/>
      </c>
      <c r="T32" s="53">
        <f>IF(B32="","",B32&amp;"|"&amp;TEXT(C32-1,"00"))</f>
        <v/>
      </c>
      <c r="U32" s="53">
        <f>IFERROR(INDEX($Q:$Q,MATCH(T32,$S:$S,0)),"")</f>
        <v/>
      </c>
      <c r="V32" s="56">
        <f>IFERROR(INDEX($R:$R,MATCH(T32,$S:$S,0)),"")</f>
        <v/>
      </c>
      <c r="W32" s="56">
        <f>IF(U32="","",IF(Q32&lt;&gt;U32,1,0))</f>
        <v/>
      </c>
      <c r="X32" s="56">
        <f>IF(V32="","",IF(R32&lt;V32,1,0))</f>
        <v/>
      </c>
      <c r="Y32" s="56">
        <f>IF(V32="","",IF(R32&gt;V32,1,0))</f>
        <v/>
      </c>
      <c r="Z32" s="56">
        <f>IF(Q32="Pass",1,0)</f>
        <v/>
      </c>
      <c r="AA32" s="50" t="n"/>
      <c r="AB32" s="50" t="n"/>
      <c r="AC32" s="49" t="n"/>
      <c r="AD32" s="50" t="n"/>
      <c r="AE32" s="49" t="n"/>
    </row>
    <row r="33" ht="15.75" customHeight="1" s="40">
      <c r="A33" s="48" t="n"/>
      <c r="B33" s="48" t="n"/>
      <c r="C33" s="47" t="n"/>
      <c r="D33" s="48" t="n"/>
      <c r="E33" s="48" t="n"/>
      <c r="F33" s="48" t="n"/>
      <c r="G33" s="47" t="n"/>
      <c r="H33" s="50" t="n"/>
      <c r="I33" s="50" t="n"/>
      <c r="J33" s="50" t="n"/>
      <c r="K33" s="50" t="n"/>
      <c r="L33" s="49" t="n"/>
      <c r="M33" s="49" t="n"/>
      <c r="N33" s="49" t="n"/>
      <c r="O33" s="49" t="n"/>
      <c r="P33" s="50" t="n"/>
      <c r="Q33" s="49" t="n"/>
      <c r="R33" s="56">
        <f>IF(Q33="","",IFERROR(VLOOKUP(Q33,Lookups!$A$2:$B$8,2,FALSE),""))</f>
        <v/>
      </c>
      <c r="S33" s="53">
        <f>IF(B33="","",B33&amp;"|"&amp;TEXT(C33,"00"))</f>
        <v/>
      </c>
      <c r="T33" s="53">
        <f>IF(B33="","",B33&amp;"|"&amp;TEXT(C33-1,"00"))</f>
        <v/>
      </c>
      <c r="U33" s="53">
        <f>IFERROR(INDEX($Q:$Q,MATCH(T33,$S:$S,0)),"")</f>
        <v/>
      </c>
      <c r="V33" s="56">
        <f>IFERROR(INDEX($R:$R,MATCH(T33,$S:$S,0)),"")</f>
        <v/>
      </c>
      <c r="W33" s="56">
        <f>IF(U33="","",IF(Q33&lt;&gt;U33,1,0))</f>
        <v/>
      </c>
      <c r="X33" s="56">
        <f>IF(V33="","",IF(R33&lt;V33,1,0))</f>
        <v/>
      </c>
      <c r="Y33" s="56">
        <f>IF(V33="","",IF(R33&gt;V33,1,0))</f>
        <v/>
      </c>
      <c r="Z33" s="56">
        <f>IF(Q33="Pass",1,0)</f>
        <v/>
      </c>
      <c r="AA33" s="50" t="n"/>
      <c r="AB33" s="50" t="n"/>
      <c r="AC33" s="49" t="n"/>
      <c r="AD33" s="50" t="n"/>
      <c r="AE33" s="49" t="n"/>
    </row>
    <row r="34" ht="15.75" customHeight="1" s="40">
      <c r="A34" s="48" t="n"/>
      <c r="B34" s="48" t="n"/>
      <c r="C34" s="47" t="n"/>
      <c r="D34" s="48" t="n"/>
      <c r="E34" s="48" t="n"/>
      <c r="F34" s="48" t="n"/>
      <c r="G34" s="47" t="n"/>
      <c r="H34" s="50" t="n"/>
      <c r="I34" s="50" t="n"/>
      <c r="J34" s="50" t="n"/>
      <c r="K34" s="50" t="n"/>
      <c r="L34" s="49" t="n"/>
      <c r="M34" s="49" t="n"/>
      <c r="N34" s="49" t="n"/>
      <c r="O34" s="49" t="n"/>
      <c r="P34" s="50" t="n"/>
      <c r="Q34" s="49" t="n"/>
      <c r="R34" s="56">
        <f>IF(Q34="","",IFERROR(VLOOKUP(Q34,Lookups!$A$2:$B$8,2,FALSE),""))</f>
        <v/>
      </c>
      <c r="S34" s="53">
        <f>IF(B34="","",B34&amp;"|"&amp;TEXT(C34,"00"))</f>
        <v/>
      </c>
      <c r="T34" s="53">
        <f>IF(B34="","",B34&amp;"|"&amp;TEXT(C34-1,"00"))</f>
        <v/>
      </c>
      <c r="U34" s="53">
        <f>IFERROR(INDEX($Q:$Q,MATCH(T34,$S:$S,0)),"")</f>
        <v/>
      </c>
      <c r="V34" s="56">
        <f>IFERROR(INDEX($R:$R,MATCH(T34,$S:$S,0)),"")</f>
        <v/>
      </c>
      <c r="W34" s="56">
        <f>IF(U34="","",IF(Q34&lt;&gt;U34,1,0))</f>
        <v/>
      </c>
      <c r="X34" s="56">
        <f>IF(V34="","",IF(R34&lt;V34,1,0))</f>
        <v/>
      </c>
      <c r="Y34" s="56">
        <f>IF(V34="","",IF(R34&gt;V34,1,0))</f>
        <v/>
      </c>
      <c r="Z34" s="56">
        <f>IF(Q34="Pass",1,0)</f>
        <v/>
      </c>
      <c r="AA34" s="50" t="n"/>
      <c r="AB34" s="50" t="n"/>
      <c r="AC34" s="49" t="n"/>
      <c r="AD34" s="50" t="n"/>
      <c r="AE34" s="49" t="n"/>
    </row>
    <row r="35" ht="15.75" customHeight="1" s="40">
      <c r="A35" s="48" t="n"/>
      <c r="B35" s="48" t="n"/>
      <c r="C35" s="47" t="n"/>
      <c r="D35" s="48" t="n"/>
      <c r="E35" s="48" t="n"/>
      <c r="F35" s="48" t="n"/>
      <c r="G35" s="47" t="n"/>
      <c r="H35" s="50" t="n"/>
      <c r="I35" s="50" t="n"/>
      <c r="J35" s="50" t="n"/>
      <c r="K35" s="50" t="n"/>
      <c r="L35" s="49" t="n"/>
      <c r="M35" s="49" t="n"/>
      <c r="N35" s="49" t="n"/>
      <c r="O35" s="49" t="n"/>
      <c r="P35" s="50" t="n"/>
      <c r="Q35" s="49" t="n"/>
      <c r="R35" s="56">
        <f>IF(Q35="","",IFERROR(VLOOKUP(Q35,Lookups!$A$2:$B$8,2,FALSE),""))</f>
        <v/>
      </c>
      <c r="S35" s="53">
        <f>IF(B35="","",B35&amp;"|"&amp;TEXT(C35,"00"))</f>
        <v/>
      </c>
      <c r="T35" s="53">
        <f>IF(B35="","",B35&amp;"|"&amp;TEXT(C35-1,"00"))</f>
        <v/>
      </c>
      <c r="U35" s="53">
        <f>IFERROR(INDEX($Q:$Q,MATCH(T35,$S:$S,0)),"")</f>
        <v/>
      </c>
      <c r="V35" s="56">
        <f>IFERROR(INDEX($R:$R,MATCH(T35,$S:$S,0)),"")</f>
        <v/>
      </c>
      <c r="W35" s="56">
        <f>IF(U35="","",IF(Q35&lt;&gt;U35,1,0))</f>
        <v/>
      </c>
      <c r="X35" s="56">
        <f>IF(V35="","",IF(R35&lt;V35,1,0))</f>
        <v/>
      </c>
      <c r="Y35" s="56">
        <f>IF(V35="","",IF(R35&gt;V35,1,0))</f>
        <v/>
      </c>
      <c r="Z35" s="56">
        <f>IF(Q35="Pass",1,0)</f>
        <v/>
      </c>
      <c r="AA35" s="50" t="n"/>
      <c r="AB35" s="50" t="n"/>
      <c r="AC35" s="49" t="n"/>
      <c r="AD35" s="50" t="n"/>
      <c r="AE35" s="49" t="n"/>
    </row>
    <row r="36" ht="15.75" customHeight="1" s="40">
      <c r="A36" s="48" t="n"/>
      <c r="B36" s="48" t="n"/>
      <c r="C36" s="47" t="n"/>
      <c r="D36" s="48" t="n"/>
      <c r="E36" s="48" t="n"/>
      <c r="F36" s="48" t="n"/>
      <c r="G36" s="47" t="n"/>
      <c r="H36" s="50" t="n"/>
      <c r="I36" s="50" t="n"/>
      <c r="J36" s="50" t="n"/>
      <c r="K36" s="50" t="n"/>
      <c r="L36" s="49" t="n"/>
      <c r="M36" s="49" t="n"/>
      <c r="N36" s="49" t="n"/>
      <c r="O36" s="49" t="n"/>
      <c r="P36" s="50" t="n"/>
      <c r="Q36" s="49" t="n"/>
      <c r="R36" s="56">
        <f>IF(Q36="","",IFERROR(VLOOKUP(Q36,Lookups!$A$2:$B$8,2,FALSE),""))</f>
        <v/>
      </c>
      <c r="S36" s="53">
        <f>IF(B36="","",B36&amp;"|"&amp;TEXT(C36,"00"))</f>
        <v/>
      </c>
      <c r="T36" s="53">
        <f>IF(B36="","",B36&amp;"|"&amp;TEXT(C36-1,"00"))</f>
        <v/>
      </c>
      <c r="U36" s="53">
        <f>IFERROR(INDEX($Q:$Q,MATCH(T36,$S:$S,0)),"")</f>
        <v/>
      </c>
      <c r="V36" s="56">
        <f>IFERROR(INDEX($R:$R,MATCH(T36,$S:$S,0)),"")</f>
        <v/>
      </c>
      <c r="W36" s="56">
        <f>IF(U36="","",IF(Q36&lt;&gt;U36,1,0))</f>
        <v/>
      </c>
      <c r="X36" s="56">
        <f>IF(V36="","",IF(R36&lt;V36,1,0))</f>
        <v/>
      </c>
      <c r="Y36" s="56">
        <f>IF(V36="","",IF(R36&gt;V36,1,0))</f>
        <v/>
      </c>
      <c r="Z36" s="56">
        <f>IF(Q36="Pass",1,0)</f>
        <v/>
      </c>
      <c r="AA36" s="50" t="n"/>
      <c r="AB36" s="50" t="n"/>
      <c r="AC36" s="49" t="n"/>
      <c r="AD36" s="50" t="n"/>
      <c r="AE36" s="49" t="n"/>
    </row>
    <row r="37" ht="15.75" customHeight="1" s="40">
      <c r="A37" s="48" t="n"/>
      <c r="B37" s="48" t="n"/>
      <c r="C37" s="47" t="n"/>
      <c r="D37" s="48" t="n"/>
      <c r="E37" s="48" t="n"/>
      <c r="F37" s="48" t="n"/>
      <c r="G37" s="47" t="n"/>
      <c r="H37" s="50" t="n"/>
      <c r="I37" s="50" t="n"/>
      <c r="J37" s="50" t="n"/>
      <c r="K37" s="50" t="n"/>
      <c r="L37" s="49" t="n"/>
      <c r="M37" s="49" t="n"/>
      <c r="N37" s="49" t="n"/>
      <c r="O37" s="49" t="n"/>
      <c r="P37" s="50" t="n"/>
      <c r="Q37" s="49" t="n"/>
      <c r="R37" s="56">
        <f>IF(Q37="","",IFERROR(VLOOKUP(Q37,Lookups!$A$2:$B$8,2,FALSE),""))</f>
        <v/>
      </c>
      <c r="S37" s="53">
        <f>IF(B37="","",B37&amp;"|"&amp;TEXT(C37,"00"))</f>
        <v/>
      </c>
      <c r="T37" s="53">
        <f>IF(B37="","",B37&amp;"|"&amp;TEXT(C37-1,"00"))</f>
        <v/>
      </c>
      <c r="U37" s="53">
        <f>IFERROR(INDEX($Q:$Q,MATCH(T37,$S:$S,0)),"")</f>
        <v/>
      </c>
      <c r="V37" s="56">
        <f>IFERROR(INDEX($R:$R,MATCH(T37,$S:$S,0)),"")</f>
        <v/>
      </c>
      <c r="W37" s="56">
        <f>IF(U37="","",IF(Q37&lt;&gt;U37,1,0))</f>
        <v/>
      </c>
      <c r="X37" s="56">
        <f>IF(V37="","",IF(R37&lt;V37,1,0))</f>
        <v/>
      </c>
      <c r="Y37" s="56">
        <f>IF(V37="","",IF(R37&gt;V37,1,0))</f>
        <v/>
      </c>
      <c r="Z37" s="56">
        <f>IF(Q37="Pass",1,0)</f>
        <v/>
      </c>
      <c r="AA37" s="50" t="n"/>
      <c r="AB37" s="50" t="n"/>
      <c r="AC37" s="49" t="n"/>
      <c r="AD37" s="50" t="n"/>
      <c r="AE37" s="49" t="n"/>
    </row>
    <row r="38" ht="15.75" customHeight="1" s="40">
      <c r="A38" s="48" t="n"/>
      <c r="B38" s="48" t="n"/>
      <c r="C38" s="47" t="n"/>
      <c r="D38" s="48" t="n"/>
      <c r="E38" s="48" t="n"/>
      <c r="F38" s="48" t="n"/>
      <c r="G38" s="47" t="n"/>
      <c r="H38" s="50" t="n"/>
      <c r="I38" s="50" t="n"/>
      <c r="J38" s="50" t="n"/>
      <c r="K38" s="50" t="n"/>
      <c r="L38" s="49" t="n"/>
      <c r="M38" s="49" t="n"/>
      <c r="N38" s="49" t="n"/>
      <c r="O38" s="49" t="n"/>
      <c r="P38" s="50" t="n"/>
      <c r="Q38" s="49" t="n"/>
      <c r="R38" s="56">
        <f>IF(Q38="","",IFERROR(VLOOKUP(Q38,Lookups!$A$2:$B$8,2,FALSE),""))</f>
        <v/>
      </c>
      <c r="S38" s="53">
        <f>IF(B38="","",B38&amp;"|"&amp;TEXT(C38,"00"))</f>
        <v/>
      </c>
      <c r="T38" s="53">
        <f>IF(B38="","",B38&amp;"|"&amp;TEXT(C38-1,"00"))</f>
        <v/>
      </c>
      <c r="U38" s="53">
        <f>IFERROR(INDEX($Q:$Q,MATCH(T38,$S:$S,0)),"")</f>
        <v/>
      </c>
      <c r="V38" s="56">
        <f>IFERROR(INDEX($R:$R,MATCH(T38,$S:$S,0)),"")</f>
        <v/>
      </c>
      <c r="W38" s="56">
        <f>IF(U38="","",IF(Q38&lt;&gt;U38,1,0))</f>
        <v/>
      </c>
      <c r="X38" s="56">
        <f>IF(V38="","",IF(R38&lt;V38,1,0))</f>
        <v/>
      </c>
      <c r="Y38" s="56">
        <f>IF(V38="","",IF(R38&gt;V38,1,0))</f>
        <v/>
      </c>
      <c r="Z38" s="56">
        <f>IF(Q38="Pass",1,0)</f>
        <v/>
      </c>
      <c r="AA38" s="50" t="n"/>
      <c r="AB38" s="50" t="n"/>
      <c r="AC38" s="49" t="n"/>
      <c r="AD38" s="50" t="n"/>
      <c r="AE38" s="49" t="n"/>
    </row>
    <row r="39" ht="15.75" customHeight="1" s="40">
      <c r="A39" s="48" t="n"/>
      <c r="B39" s="48" t="n"/>
      <c r="C39" s="47" t="n"/>
      <c r="D39" s="48" t="n"/>
      <c r="E39" s="48" t="n"/>
      <c r="F39" s="48" t="n"/>
      <c r="G39" s="47" t="n"/>
      <c r="H39" s="50" t="n"/>
      <c r="I39" s="50" t="n"/>
      <c r="J39" s="50" t="n"/>
      <c r="K39" s="50" t="n"/>
      <c r="L39" s="49" t="n"/>
      <c r="M39" s="49" t="n"/>
      <c r="N39" s="49" t="n"/>
      <c r="O39" s="49" t="n"/>
      <c r="P39" s="50" t="n"/>
      <c r="Q39" s="49" t="n"/>
      <c r="R39" s="56">
        <f>IF(Q39="","",IFERROR(VLOOKUP(Q39,Lookups!$A$2:$B$8,2,FALSE),""))</f>
        <v/>
      </c>
      <c r="S39" s="53">
        <f>IF(B39="","",B39&amp;"|"&amp;TEXT(C39,"00"))</f>
        <v/>
      </c>
      <c r="T39" s="53">
        <f>IF(B39="","",B39&amp;"|"&amp;TEXT(C39-1,"00"))</f>
        <v/>
      </c>
      <c r="U39" s="53">
        <f>IFERROR(INDEX($Q:$Q,MATCH(T39,$S:$S,0)),"")</f>
        <v/>
      </c>
      <c r="V39" s="56">
        <f>IFERROR(INDEX($R:$R,MATCH(T39,$S:$S,0)),"")</f>
        <v/>
      </c>
      <c r="W39" s="56">
        <f>IF(U39="","",IF(Q39&lt;&gt;U39,1,0))</f>
        <v/>
      </c>
      <c r="X39" s="56">
        <f>IF(V39="","",IF(R39&lt;V39,1,0))</f>
        <v/>
      </c>
      <c r="Y39" s="56">
        <f>IF(V39="","",IF(R39&gt;V39,1,0))</f>
        <v/>
      </c>
      <c r="Z39" s="56">
        <f>IF(Q39="Pass",1,0)</f>
        <v/>
      </c>
      <c r="AA39" s="50" t="n"/>
      <c r="AB39" s="50" t="n"/>
      <c r="AC39" s="49" t="n"/>
      <c r="AD39" s="50" t="n"/>
      <c r="AE39" s="49" t="n"/>
    </row>
    <row r="40" ht="15.75" customHeight="1" s="40">
      <c r="A40" s="48" t="n"/>
      <c r="B40" s="48" t="n"/>
      <c r="C40" s="47" t="n"/>
      <c r="D40" s="48" t="n"/>
      <c r="E40" s="48" t="n"/>
      <c r="F40" s="48" t="n"/>
      <c r="G40" s="47" t="n"/>
      <c r="H40" s="50" t="n"/>
      <c r="I40" s="50" t="n"/>
      <c r="J40" s="50" t="n"/>
      <c r="K40" s="50" t="n"/>
      <c r="L40" s="49" t="n"/>
      <c r="M40" s="49" t="n"/>
      <c r="N40" s="49" t="n"/>
      <c r="O40" s="49" t="n"/>
      <c r="P40" s="50" t="n"/>
      <c r="Q40" s="49" t="n"/>
      <c r="R40" s="56">
        <f>IF(Q40="","",IFERROR(VLOOKUP(Q40,Lookups!$A$2:$B$8,2,FALSE),""))</f>
        <v/>
      </c>
      <c r="S40" s="53">
        <f>IF(B40="","",B40&amp;"|"&amp;TEXT(C40,"00"))</f>
        <v/>
      </c>
      <c r="T40" s="53">
        <f>IF(B40="","",B40&amp;"|"&amp;TEXT(C40-1,"00"))</f>
        <v/>
      </c>
      <c r="U40" s="53">
        <f>IFERROR(INDEX($Q:$Q,MATCH(T40,$S:$S,0)),"")</f>
        <v/>
      </c>
      <c r="V40" s="56">
        <f>IFERROR(INDEX($R:$R,MATCH(T40,$S:$S,0)),"")</f>
        <v/>
      </c>
      <c r="W40" s="56">
        <f>IF(U40="","",IF(Q40&lt;&gt;U40,1,0))</f>
        <v/>
      </c>
      <c r="X40" s="56">
        <f>IF(V40="","",IF(R40&lt;V40,1,0))</f>
        <v/>
      </c>
      <c r="Y40" s="56">
        <f>IF(V40="","",IF(R40&gt;V40,1,0))</f>
        <v/>
      </c>
      <c r="Z40" s="56">
        <f>IF(Q40="Pass",1,0)</f>
        <v/>
      </c>
      <c r="AA40" s="50" t="n"/>
      <c r="AB40" s="50" t="n"/>
      <c r="AC40" s="49" t="n"/>
      <c r="AD40" s="50" t="n"/>
      <c r="AE40" s="49" t="n"/>
    </row>
    <row r="41" ht="15.75" customHeight="1" s="40">
      <c r="A41" s="48" t="n"/>
      <c r="B41" s="48" t="n"/>
      <c r="C41" s="47" t="n"/>
      <c r="D41" s="48" t="n"/>
      <c r="E41" s="48" t="n"/>
      <c r="F41" s="48" t="n"/>
      <c r="G41" s="47" t="n"/>
      <c r="H41" s="50" t="n"/>
      <c r="I41" s="50" t="n"/>
      <c r="J41" s="50" t="n"/>
      <c r="K41" s="50" t="n"/>
      <c r="L41" s="49" t="n"/>
      <c r="M41" s="49" t="n"/>
      <c r="N41" s="49" t="n"/>
      <c r="O41" s="49" t="n"/>
      <c r="P41" s="50" t="n"/>
      <c r="Q41" s="49" t="n"/>
      <c r="R41" s="56">
        <f>IF(Q41="","",IFERROR(VLOOKUP(Q41,Lookups!$A$2:$B$8,2,FALSE),""))</f>
        <v/>
      </c>
      <c r="S41" s="53">
        <f>IF(B41="","",B41&amp;"|"&amp;TEXT(C41,"00"))</f>
        <v/>
      </c>
      <c r="T41" s="53">
        <f>IF(B41="","",B41&amp;"|"&amp;TEXT(C41-1,"00"))</f>
        <v/>
      </c>
      <c r="U41" s="53">
        <f>IFERROR(INDEX($Q:$Q,MATCH(T41,$S:$S,0)),"")</f>
        <v/>
      </c>
      <c r="V41" s="56">
        <f>IFERROR(INDEX($R:$R,MATCH(T41,$S:$S,0)),"")</f>
        <v/>
      </c>
      <c r="W41" s="56">
        <f>IF(U41="","",IF(Q41&lt;&gt;U41,1,0))</f>
        <v/>
      </c>
      <c r="X41" s="56">
        <f>IF(V41="","",IF(R41&lt;V41,1,0))</f>
        <v/>
      </c>
      <c r="Y41" s="56">
        <f>IF(V41="","",IF(R41&gt;V41,1,0))</f>
        <v/>
      </c>
      <c r="Z41" s="56">
        <f>IF(Q41="Pass",1,0)</f>
        <v/>
      </c>
      <c r="AA41" s="50" t="n"/>
      <c r="AB41" s="50" t="n"/>
      <c r="AC41" s="49" t="n"/>
      <c r="AD41" s="50" t="n"/>
      <c r="AE41" s="49" t="n"/>
    </row>
    <row r="42" ht="15.75" customHeight="1" s="40">
      <c r="A42" s="48" t="n"/>
      <c r="B42" s="48" t="n"/>
      <c r="C42" s="47" t="n"/>
      <c r="D42" s="48" t="n"/>
      <c r="E42" s="48" t="n"/>
      <c r="F42" s="48" t="n"/>
      <c r="G42" s="47" t="n"/>
      <c r="H42" s="50" t="n"/>
      <c r="I42" s="50" t="n"/>
      <c r="J42" s="50" t="n"/>
      <c r="K42" s="50" t="n"/>
      <c r="L42" s="49" t="n"/>
      <c r="M42" s="49" t="n"/>
      <c r="N42" s="49" t="n"/>
      <c r="O42" s="49" t="n"/>
      <c r="P42" s="50" t="n"/>
      <c r="Q42" s="49" t="n"/>
      <c r="R42" s="56">
        <f>IF(Q42="","",IFERROR(VLOOKUP(Q42,Lookups!$A$2:$B$8,2,FALSE),""))</f>
        <v/>
      </c>
      <c r="S42" s="53">
        <f>IF(B42="","",B42&amp;"|"&amp;TEXT(C42,"00"))</f>
        <v/>
      </c>
      <c r="T42" s="53">
        <f>IF(B42="","",B42&amp;"|"&amp;TEXT(C42-1,"00"))</f>
        <v/>
      </c>
      <c r="U42" s="53">
        <f>IFERROR(INDEX($Q:$Q,MATCH(T42,$S:$S,0)),"")</f>
        <v/>
      </c>
      <c r="V42" s="56">
        <f>IFERROR(INDEX($R:$R,MATCH(T42,$S:$S,0)),"")</f>
        <v/>
      </c>
      <c r="W42" s="56">
        <f>IF(U42="","",IF(Q42&lt;&gt;U42,1,0))</f>
        <v/>
      </c>
      <c r="X42" s="56">
        <f>IF(V42="","",IF(R42&lt;V42,1,0))</f>
        <v/>
      </c>
      <c r="Y42" s="56">
        <f>IF(V42="","",IF(R42&gt;V42,1,0))</f>
        <v/>
      </c>
      <c r="Z42" s="56">
        <f>IF(Q42="Pass",1,0)</f>
        <v/>
      </c>
      <c r="AA42" s="50" t="n"/>
      <c r="AB42" s="50" t="n"/>
      <c r="AC42" s="49" t="n"/>
      <c r="AD42" s="50" t="n"/>
      <c r="AE42" s="49" t="n"/>
    </row>
    <row r="43" ht="15.75" customHeight="1" s="40">
      <c r="A43" s="48" t="n"/>
      <c r="B43" s="48" t="n"/>
      <c r="C43" s="47" t="n"/>
      <c r="D43" s="48" t="n"/>
      <c r="E43" s="48" t="n"/>
      <c r="F43" s="48" t="n"/>
      <c r="G43" s="47" t="n"/>
      <c r="H43" s="50" t="n"/>
      <c r="I43" s="50" t="n"/>
      <c r="J43" s="50" t="n"/>
      <c r="K43" s="50" t="n"/>
      <c r="L43" s="49" t="n"/>
      <c r="M43" s="49" t="n"/>
      <c r="N43" s="49" t="n"/>
      <c r="O43" s="49" t="n"/>
      <c r="P43" s="50" t="n"/>
      <c r="Q43" s="49" t="n"/>
      <c r="R43" s="56">
        <f>IF(Q43="","",IFERROR(VLOOKUP(Q43,Lookups!$A$2:$B$8,2,FALSE),""))</f>
        <v/>
      </c>
      <c r="S43" s="53">
        <f>IF(B43="","",B43&amp;"|"&amp;TEXT(C43,"00"))</f>
        <v/>
      </c>
      <c r="T43" s="53">
        <f>IF(B43="","",B43&amp;"|"&amp;TEXT(C43-1,"00"))</f>
        <v/>
      </c>
      <c r="U43" s="53">
        <f>IFERROR(INDEX($Q:$Q,MATCH(T43,$S:$S,0)),"")</f>
        <v/>
      </c>
      <c r="V43" s="56">
        <f>IFERROR(INDEX($R:$R,MATCH(T43,$S:$S,0)),"")</f>
        <v/>
      </c>
      <c r="W43" s="56">
        <f>IF(U43="","",IF(Q43&lt;&gt;U43,1,0))</f>
        <v/>
      </c>
      <c r="X43" s="56">
        <f>IF(V43="","",IF(R43&lt;V43,1,0))</f>
        <v/>
      </c>
      <c r="Y43" s="56">
        <f>IF(V43="","",IF(R43&gt;V43,1,0))</f>
        <v/>
      </c>
      <c r="Z43" s="56">
        <f>IF(Q43="Pass",1,0)</f>
        <v/>
      </c>
      <c r="AA43" s="50" t="n"/>
      <c r="AB43" s="50" t="n"/>
      <c r="AC43" s="49" t="n"/>
      <c r="AD43" s="50" t="n"/>
      <c r="AE43" s="49" t="n"/>
    </row>
    <row r="44" ht="15.75" customHeight="1" s="40">
      <c r="A44" s="48" t="n"/>
      <c r="B44" s="48" t="n"/>
      <c r="C44" s="47" t="n"/>
      <c r="D44" s="48" t="n"/>
      <c r="E44" s="48" t="n"/>
      <c r="F44" s="48" t="n"/>
      <c r="G44" s="47" t="n"/>
      <c r="H44" s="50" t="n"/>
      <c r="I44" s="50" t="n"/>
      <c r="J44" s="50" t="n"/>
      <c r="K44" s="50" t="n"/>
      <c r="L44" s="49" t="n"/>
      <c r="M44" s="49" t="n"/>
      <c r="N44" s="49" t="n"/>
      <c r="O44" s="49" t="n"/>
      <c r="P44" s="50" t="n"/>
      <c r="Q44" s="49" t="n"/>
      <c r="R44" s="56">
        <f>IF(Q44="","",IFERROR(VLOOKUP(Q44,Lookups!$A$2:$B$8,2,FALSE),""))</f>
        <v/>
      </c>
      <c r="S44" s="53">
        <f>IF(B44="","",B44&amp;"|"&amp;TEXT(C44,"00"))</f>
        <v/>
      </c>
      <c r="T44" s="53">
        <f>IF(B44="","",B44&amp;"|"&amp;TEXT(C44-1,"00"))</f>
        <v/>
      </c>
      <c r="U44" s="53">
        <f>IFERROR(INDEX($Q:$Q,MATCH(T44,$S:$S,0)),"")</f>
        <v/>
      </c>
      <c r="V44" s="56">
        <f>IFERROR(INDEX($R:$R,MATCH(T44,$S:$S,0)),"")</f>
        <v/>
      </c>
      <c r="W44" s="56">
        <f>IF(U44="","",IF(Q44&lt;&gt;U44,1,0))</f>
        <v/>
      </c>
      <c r="X44" s="56">
        <f>IF(V44="","",IF(R44&lt;V44,1,0))</f>
        <v/>
      </c>
      <c r="Y44" s="56">
        <f>IF(V44="","",IF(R44&gt;V44,1,0))</f>
        <v/>
      </c>
      <c r="Z44" s="56">
        <f>IF(Q44="Pass",1,0)</f>
        <v/>
      </c>
      <c r="AA44" s="50" t="n"/>
      <c r="AB44" s="50" t="n"/>
      <c r="AC44" s="49" t="n"/>
      <c r="AD44" s="50" t="n"/>
      <c r="AE44" s="49" t="n"/>
    </row>
    <row r="45" ht="15.75" customHeight="1" s="40">
      <c r="A45" s="48" t="n"/>
      <c r="B45" s="48" t="n"/>
      <c r="C45" s="47" t="n"/>
      <c r="D45" s="48" t="n"/>
      <c r="E45" s="48" t="n"/>
      <c r="F45" s="48" t="n"/>
      <c r="G45" s="47" t="n"/>
      <c r="H45" s="50" t="n"/>
      <c r="I45" s="50" t="n"/>
      <c r="J45" s="50" t="n"/>
      <c r="K45" s="50" t="n"/>
      <c r="L45" s="49" t="n"/>
      <c r="M45" s="49" t="n"/>
      <c r="N45" s="49" t="n"/>
      <c r="O45" s="49" t="n"/>
      <c r="P45" s="50" t="n"/>
      <c r="Q45" s="49" t="n"/>
      <c r="R45" s="56">
        <f>IF(Q45="","",IFERROR(VLOOKUP(Q45,Lookups!$A$2:$B$8,2,FALSE),""))</f>
        <v/>
      </c>
      <c r="S45" s="53">
        <f>IF(B45="","",B45&amp;"|"&amp;TEXT(C45,"00"))</f>
        <v/>
      </c>
      <c r="T45" s="53">
        <f>IF(B45="","",B45&amp;"|"&amp;TEXT(C45-1,"00"))</f>
        <v/>
      </c>
      <c r="U45" s="53">
        <f>IFERROR(INDEX($Q:$Q,MATCH(T45,$S:$S,0)),"")</f>
        <v/>
      </c>
      <c r="V45" s="56">
        <f>IFERROR(INDEX($R:$R,MATCH(T45,$S:$S,0)),"")</f>
        <v/>
      </c>
      <c r="W45" s="56">
        <f>IF(U45="","",IF(Q45&lt;&gt;U45,1,0))</f>
        <v/>
      </c>
      <c r="X45" s="56">
        <f>IF(V45="","",IF(R45&lt;V45,1,0))</f>
        <v/>
      </c>
      <c r="Y45" s="56">
        <f>IF(V45="","",IF(R45&gt;V45,1,0))</f>
        <v/>
      </c>
      <c r="Z45" s="56">
        <f>IF(Q45="Pass",1,0)</f>
        <v/>
      </c>
      <c r="AA45" s="50" t="n"/>
      <c r="AB45" s="50" t="n"/>
      <c r="AC45" s="49" t="n"/>
      <c r="AD45" s="50" t="n"/>
      <c r="AE45" s="49" t="n"/>
    </row>
    <row r="46" ht="15.75" customHeight="1" s="40">
      <c r="A46" s="48" t="n"/>
      <c r="B46" s="48" t="n"/>
      <c r="C46" s="47" t="n"/>
      <c r="D46" s="48" t="n"/>
      <c r="E46" s="48" t="n"/>
      <c r="F46" s="48" t="n"/>
      <c r="G46" s="47" t="n"/>
      <c r="H46" s="50" t="n"/>
      <c r="I46" s="50" t="n"/>
      <c r="J46" s="50" t="n"/>
      <c r="K46" s="50" t="n"/>
      <c r="L46" s="49" t="n"/>
      <c r="M46" s="49" t="n"/>
      <c r="N46" s="49" t="n"/>
      <c r="O46" s="49" t="n"/>
      <c r="P46" s="50" t="n"/>
      <c r="Q46" s="49" t="n"/>
      <c r="R46" s="56">
        <f>IF(Q46="","",IFERROR(VLOOKUP(Q46,Lookups!$A$2:$B$8,2,FALSE),""))</f>
        <v/>
      </c>
      <c r="S46" s="53">
        <f>IF(B46="","",B46&amp;"|"&amp;TEXT(C46,"00"))</f>
        <v/>
      </c>
      <c r="T46" s="53">
        <f>IF(B46="","",B46&amp;"|"&amp;TEXT(C46-1,"00"))</f>
        <v/>
      </c>
      <c r="U46" s="53">
        <f>IFERROR(INDEX($Q:$Q,MATCH(T46,$S:$S,0)),"")</f>
        <v/>
      </c>
      <c r="V46" s="56">
        <f>IFERROR(INDEX($R:$R,MATCH(T46,$S:$S,0)),"")</f>
        <v/>
      </c>
      <c r="W46" s="56">
        <f>IF(U46="","",IF(Q46&lt;&gt;U46,1,0))</f>
        <v/>
      </c>
      <c r="X46" s="56">
        <f>IF(V46="","",IF(R46&lt;V46,1,0))</f>
        <v/>
      </c>
      <c r="Y46" s="56">
        <f>IF(V46="","",IF(R46&gt;V46,1,0))</f>
        <v/>
      </c>
      <c r="Z46" s="56">
        <f>IF(Q46="Pass",1,0)</f>
        <v/>
      </c>
      <c r="AA46" s="50" t="n"/>
      <c r="AB46" s="50" t="n"/>
      <c r="AC46" s="49" t="n"/>
      <c r="AD46" s="50" t="n"/>
      <c r="AE46" s="49" t="n"/>
    </row>
    <row r="47" ht="15.75" customHeight="1" s="40">
      <c r="A47" s="48" t="n"/>
      <c r="B47" s="48" t="n"/>
      <c r="C47" s="47" t="n"/>
      <c r="D47" s="48" t="n"/>
      <c r="E47" s="48" t="n"/>
      <c r="F47" s="48" t="n"/>
      <c r="G47" s="47" t="n"/>
      <c r="H47" s="50" t="n"/>
      <c r="I47" s="50" t="n"/>
      <c r="J47" s="50" t="n"/>
      <c r="K47" s="50" t="n"/>
      <c r="L47" s="49" t="n"/>
      <c r="M47" s="49" t="n"/>
      <c r="N47" s="49" t="n"/>
      <c r="O47" s="49" t="n"/>
      <c r="P47" s="50" t="n"/>
      <c r="Q47" s="49" t="n"/>
      <c r="R47" s="56">
        <f>IF(Q47="","",IFERROR(VLOOKUP(Q47,Lookups!$A$2:$B$8,2,FALSE),""))</f>
        <v/>
      </c>
      <c r="S47" s="53">
        <f>IF(B47="","",B47&amp;"|"&amp;TEXT(C47,"00"))</f>
        <v/>
      </c>
      <c r="T47" s="53">
        <f>IF(B47="","",B47&amp;"|"&amp;TEXT(C47-1,"00"))</f>
        <v/>
      </c>
      <c r="U47" s="53">
        <f>IFERROR(INDEX($Q:$Q,MATCH(T47,$S:$S,0)),"")</f>
        <v/>
      </c>
      <c r="V47" s="56">
        <f>IFERROR(INDEX($R:$R,MATCH(T47,$S:$S,0)),"")</f>
        <v/>
      </c>
      <c r="W47" s="56">
        <f>IF(U47="","",IF(Q47&lt;&gt;U47,1,0))</f>
        <v/>
      </c>
      <c r="X47" s="56">
        <f>IF(V47="","",IF(R47&lt;V47,1,0))</f>
        <v/>
      </c>
      <c r="Y47" s="56">
        <f>IF(V47="","",IF(R47&gt;V47,1,0))</f>
        <v/>
      </c>
      <c r="Z47" s="56">
        <f>IF(Q47="Pass",1,0)</f>
        <v/>
      </c>
      <c r="AA47" s="50" t="n"/>
      <c r="AB47" s="50" t="n"/>
      <c r="AC47" s="49" t="n"/>
      <c r="AD47" s="50" t="n"/>
      <c r="AE47" s="49" t="n"/>
    </row>
    <row r="48" ht="15.75" customHeight="1" s="40">
      <c r="A48" s="48" t="n"/>
      <c r="B48" s="48" t="n"/>
      <c r="C48" s="47" t="n"/>
      <c r="D48" s="48" t="n"/>
      <c r="E48" s="48" t="n"/>
      <c r="F48" s="48" t="n"/>
      <c r="G48" s="47" t="n"/>
      <c r="H48" s="50" t="n"/>
      <c r="I48" s="50" t="n"/>
      <c r="J48" s="50" t="n"/>
      <c r="K48" s="50" t="n"/>
      <c r="L48" s="49" t="n"/>
      <c r="M48" s="49" t="n"/>
      <c r="N48" s="49" t="n"/>
      <c r="O48" s="49" t="n"/>
      <c r="P48" s="50" t="n"/>
      <c r="Q48" s="49" t="n"/>
      <c r="R48" s="56">
        <f>IF(Q48="","",IFERROR(VLOOKUP(Q48,Lookups!$A$2:$B$8,2,FALSE),""))</f>
        <v/>
      </c>
      <c r="S48" s="53">
        <f>IF(B48="","",B48&amp;"|"&amp;TEXT(C48,"00"))</f>
        <v/>
      </c>
      <c r="T48" s="53">
        <f>IF(B48="","",B48&amp;"|"&amp;TEXT(C48-1,"00"))</f>
        <v/>
      </c>
      <c r="U48" s="53">
        <f>IFERROR(INDEX($Q:$Q,MATCH(T48,$S:$S,0)),"")</f>
        <v/>
      </c>
      <c r="V48" s="56">
        <f>IFERROR(INDEX($R:$R,MATCH(T48,$S:$S,0)),"")</f>
        <v/>
      </c>
      <c r="W48" s="56">
        <f>IF(U48="","",IF(Q48&lt;&gt;U48,1,0))</f>
        <v/>
      </c>
      <c r="X48" s="56">
        <f>IF(V48="","",IF(R48&lt;V48,1,0))</f>
        <v/>
      </c>
      <c r="Y48" s="56">
        <f>IF(V48="","",IF(R48&gt;V48,1,0))</f>
        <v/>
      </c>
      <c r="Z48" s="56">
        <f>IF(Q48="Pass",1,0)</f>
        <v/>
      </c>
      <c r="AA48" s="50" t="n"/>
      <c r="AB48" s="50" t="n"/>
      <c r="AC48" s="49" t="n"/>
      <c r="AD48" s="50" t="n"/>
      <c r="AE48" s="49" t="n"/>
    </row>
    <row r="49" ht="15.75" customHeight="1" s="40">
      <c r="A49" s="48" t="n"/>
      <c r="B49" s="48" t="n"/>
      <c r="C49" s="47" t="n"/>
      <c r="D49" s="48" t="n"/>
      <c r="E49" s="48" t="n"/>
      <c r="F49" s="48" t="n"/>
      <c r="G49" s="47" t="n"/>
      <c r="H49" s="50" t="n"/>
      <c r="I49" s="50" t="n"/>
      <c r="J49" s="50" t="n"/>
      <c r="K49" s="50" t="n"/>
      <c r="L49" s="49" t="n"/>
      <c r="M49" s="49" t="n"/>
      <c r="N49" s="49" t="n"/>
      <c r="O49" s="49" t="n"/>
      <c r="P49" s="50" t="n"/>
      <c r="Q49" s="49" t="n"/>
      <c r="R49" s="56">
        <f>IF(Q49="","",IFERROR(VLOOKUP(Q49,Lookups!$A$2:$B$8,2,FALSE),""))</f>
        <v/>
      </c>
      <c r="S49" s="53">
        <f>IF(B49="","",B49&amp;"|"&amp;TEXT(C49,"00"))</f>
        <v/>
      </c>
      <c r="T49" s="53">
        <f>IF(B49="","",B49&amp;"|"&amp;TEXT(C49-1,"00"))</f>
        <v/>
      </c>
      <c r="U49" s="53">
        <f>IFERROR(INDEX($Q:$Q,MATCH(T49,$S:$S,0)),"")</f>
        <v/>
      </c>
      <c r="V49" s="56">
        <f>IFERROR(INDEX($R:$R,MATCH(T49,$S:$S,0)),"")</f>
        <v/>
      </c>
      <c r="W49" s="56">
        <f>IF(U49="","",IF(Q49&lt;&gt;U49,1,0))</f>
        <v/>
      </c>
      <c r="X49" s="56">
        <f>IF(V49="","",IF(R49&lt;V49,1,0))</f>
        <v/>
      </c>
      <c r="Y49" s="56">
        <f>IF(V49="","",IF(R49&gt;V49,1,0))</f>
        <v/>
      </c>
      <c r="Z49" s="56">
        <f>IF(Q49="Pass",1,0)</f>
        <v/>
      </c>
      <c r="AA49" s="50" t="n"/>
      <c r="AB49" s="50" t="n"/>
      <c r="AC49" s="49" t="n"/>
      <c r="AD49" s="50" t="n"/>
      <c r="AE49" s="49" t="n"/>
    </row>
    <row r="50" ht="15.75" customHeight="1" s="40">
      <c r="A50" s="48" t="n"/>
      <c r="B50" s="48" t="n"/>
      <c r="C50" s="47" t="n"/>
      <c r="D50" s="48" t="n"/>
      <c r="E50" s="48" t="n"/>
      <c r="F50" s="48" t="n"/>
      <c r="G50" s="47" t="n"/>
      <c r="H50" s="50" t="n"/>
      <c r="I50" s="50" t="n"/>
      <c r="J50" s="50" t="n"/>
      <c r="K50" s="50" t="n"/>
      <c r="L50" s="49" t="n"/>
      <c r="M50" s="49" t="n"/>
      <c r="N50" s="49" t="n"/>
      <c r="O50" s="49" t="n"/>
      <c r="P50" s="50" t="n"/>
      <c r="Q50" s="49" t="n"/>
      <c r="R50" s="56">
        <f>IF(Q50="","",IFERROR(VLOOKUP(Q50,Lookups!$A$2:$B$8,2,FALSE),""))</f>
        <v/>
      </c>
      <c r="S50" s="53">
        <f>IF(B50="","",B50&amp;"|"&amp;TEXT(C50,"00"))</f>
        <v/>
      </c>
      <c r="T50" s="53">
        <f>IF(B50="","",B50&amp;"|"&amp;TEXT(C50-1,"00"))</f>
        <v/>
      </c>
      <c r="U50" s="53">
        <f>IFERROR(INDEX($Q:$Q,MATCH(T50,$S:$S,0)),"")</f>
        <v/>
      </c>
      <c r="V50" s="56">
        <f>IFERROR(INDEX($R:$R,MATCH(T50,$S:$S,0)),"")</f>
        <v/>
      </c>
      <c r="W50" s="56">
        <f>IF(U50="","",IF(Q50&lt;&gt;U50,1,0))</f>
        <v/>
      </c>
      <c r="X50" s="56">
        <f>IF(V50="","",IF(R50&lt;V50,1,0))</f>
        <v/>
      </c>
      <c r="Y50" s="56">
        <f>IF(V50="","",IF(R50&gt;V50,1,0))</f>
        <v/>
      </c>
      <c r="Z50" s="56">
        <f>IF(Q50="Pass",1,0)</f>
        <v/>
      </c>
      <c r="AA50" s="50" t="n"/>
      <c r="AB50" s="50" t="n"/>
      <c r="AC50" s="49" t="n"/>
      <c r="AD50" s="50" t="n"/>
      <c r="AE50" s="49" t="n"/>
    </row>
    <row r="51" ht="15.75" customHeight="1" s="40">
      <c r="A51" s="48" t="n"/>
      <c r="B51" s="48" t="n"/>
      <c r="C51" s="47" t="n"/>
      <c r="D51" s="48" t="n"/>
      <c r="E51" s="48" t="n"/>
      <c r="F51" s="48" t="n"/>
      <c r="G51" s="47" t="n"/>
      <c r="H51" s="50" t="n"/>
      <c r="I51" s="50" t="n"/>
      <c r="J51" s="50" t="n"/>
      <c r="K51" s="50" t="n"/>
      <c r="L51" s="49" t="n"/>
      <c r="M51" s="49" t="n"/>
      <c r="N51" s="49" t="n"/>
      <c r="O51" s="49" t="n"/>
      <c r="P51" s="50" t="n"/>
      <c r="Q51" s="49" t="n"/>
      <c r="R51" s="56">
        <f>IF(Q51="","",IFERROR(VLOOKUP(Q51,Lookups!$A$2:$B$8,2,FALSE),""))</f>
        <v/>
      </c>
      <c r="S51" s="53">
        <f>IF(B51="","",B51&amp;"|"&amp;TEXT(C51,"00"))</f>
        <v/>
      </c>
      <c r="T51" s="53">
        <f>IF(B51="","",B51&amp;"|"&amp;TEXT(C51-1,"00"))</f>
        <v/>
      </c>
      <c r="U51" s="53">
        <f>IFERROR(INDEX($Q:$Q,MATCH(T51,$S:$S,0)),"")</f>
        <v/>
      </c>
      <c r="V51" s="56">
        <f>IFERROR(INDEX($R:$R,MATCH(T51,$S:$S,0)),"")</f>
        <v/>
      </c>
      <c r="W51" s="56">
        <f>IF(U51="","",IF(Q51&lt;&gt;U51,1,0))</f>
        <v/>
      </c>
      <c r="X51" s="56">
        <f>IF(V51="","",IF(R51&lt;V51,1,0))</f>
        <v/>
      </c>
      <c r="Y51" s="56">
        <f>IF(V51="","",IF(R51&gt;V51,1,0))</f>
        <v/>
      </c>
      <c r="Z51" s="56">
        <f>IF(Q51="Pass",1,0)</f>
        <v/>
      </c>
      <c r="AA51" s="50" t="n"/>
      <c r="AB51" s="50" t="n"/>
      <c r="AC51" s="49" t="n"/>
      <c r="AD51" s="50" t="n"/>
      <c r="AE51" s="49" t="n"/>
    </row>
    <row r="52" ht="15.75" customHeight="1" s="40">
      <c r="A52" s="48" t="n"/>
      <c r="B52" s="48" t="n"/>
      <c r="C52" s="47" t="n"/>
      <c r="D52" s="48" t="n"/>
      <c r="E52" s="48" t="n"/>
      <c r="F52" s="48" t="n"/>
      <c r="G52" s="47" t="n"/>
      <c r="H52" s="50" t="n"/>
      <c r="I52" s="50" t="n"/>
      <c r="J52" s="50" t="n"/>
      <c r="K52" s="50" t="n"/>
      <c r="L52" s="49" t="n"/>
      <c r="M52" s="49" t="n"/>
      <c r="N52" s="49" t="n"/>
      <c r="O52" s="49" t="n"/>
      <c r="P52" s="50" t="n"/>
      <c r="Q52" s="49" t="n"/>
      <c r="R52" s="56">
        <f>IF(Q52="","",IFERROR(VLOOKUP(Q52,Lookups!$A$2:$B$8,2,FALSE),""))</f>
        <v/>
      </c>
      <c r="S52" s="53">
        <f>IF(B52="","",B52&amp;"|"&amp;TEXT(C52,"00"))</f>
        <v/>
      </c>
      <c r="T52" s="53">
        <f>IF(B52="","",B52&amp;"|"&amp;TEXT(C52-1,"00"))</f>
        <v/>
      </c>
      <c r="U52" s="53">
        <f>IFERROR(INDEX($Q:$Q,MATCH(T52,$S:$S,0)),"")</f>
        <v/>
      </c>
      <c r="V52" s="56">
        <f>IFERROR(INDEX($R:$R,MATCH(T52,$S:$S,0)),"")</f>
        <v/>
      </c>
      <c r="W52" s="56">
        <f>IF(U52="","",IF(Q52&lt;&gt;U52,1,0))</f>
        <v/>
      </c>
      <c r="X52" s="56">
        <f>IF(V52="","",IF(R52&lt;V52,1,0))</f>
        <v/>
      </c>
      <c r="Y52" s="56">
        <f>IF(V52="","",IF(R52&gt;V52,1,0))</f>
        <v/>
      </c>
      <c r="Z52" s="56">
        <f>IF(Q52="Pass",1,0)</f>
        <v/>
      </c>
      <c r="AA52" s="50" t="n"/>
      <c r="AB52" s="50" t="n"/>
      <c r="AC52" s="49" t="n"/>
      <c r="AD52" s="50" t="n"/>
      <c r="AE52" s="49" t="n"/>
    </row>
    <row r="53" ht="15.75" customHeight="1" s="40">
      <c r="A53" s="48" t="n"/>
      <c r="B53" s="48" t="n"/>
      <c r="C53" s="47" t="n"/>
      <c r="D53" s="48" t="n"/>
      <c r="E53" s="48" t="n"/>
      <c r="F53" s="48" t="n"/>
      <c r="G53" s="47" t="n"/>
      <c r="H53" s="50" t="n"/>
      <c r="I53" s="50" t="n"/>
      <c r="J53" s="50" t="n"/>
      <c r="K53" s="50" t="n"/>
      <c r="L53" s="49" t="n"/>
      <c r="M53" s="49" t="n"/>
      <c r="N53" s="49" t="n"/>
      <c r="O53" s="49" t="n"/>
      <c r="P53" s="50" t="n"/>
      <c r="Q53" s="49" t="n"/>
      <c r="R53" s="56">
        <f>IF(Q53="","",IFERROR(VLOOKUP(Q53,Lookups!$A$2:$B$8,2,FALSE),""))</f>
        <v/>
      </c>
      <c r="S53" s="53">
        <f>IF(B53="","",B53&amp;"|"&amp;TEXT(C53,"00"))</f>
        <v/>
      </c>
      <c r="T53" s="53">
        <f>IF(B53="","",B53&amp;"|"&amp;TEXT(C53-1,"00"))</f>
        <v/>
      </c>
      <c r="U53" s="53">
        <f>IFERROR(INDEX($Q:$Q,MATCH(T53,$S:$S,0)),"")</f>
        <v/>
      </c>
      <c r="V53" s="56">
        <f>IFERROR(INDEX($R:$R,MATCH(T53,$S:$S,0)),"")</f>
        <v/>
      </c>
      <c r="W53" s="56">
        <f>IF(U53="","",IF(Q53&lt;&gt;U53,1,0))</f>
        <v/>
      </c>
      <c r="X53" s="56">
        <f>IF(V53="","",IF(R53&lt;V53,1,0))</f>
        <v/>
      </c>
      <c r="Y53" s="56">
        <f>IF(V53="","",IF(R53&gt;V53,1,0))</f>
        <v/>
      </c>
      <c r="Z53" s="56">
        <f>IF(Q53="Pass",1,0)</f>
        <v/>
      </c>
      <c r="AA53" s="50" t="n"/>
      <c r="AB53" s="50" t="n"/>
      <c r="AC53" s="49" t="n"/>
      <c r="AD53" s="50" t="n"/>
      <c r="AE53" s="49" t="n"/>
    </row>
    <row r="54" ht="15.75" customHeight="1" s="40">
      <c r="A54" s="48" t="n"/>
      <c r="B54" s="48" t="n"/>
      <c r="C54" s="47" t="n"/>
      <c r="D54" s="48" t="n"/>
      <c r="E54" s="48" t="n"/>
      <c r="F54" s="48" t="n"/>
      <c r="G54" s="47" t="n"/>
      <c r="H54" s="50" t="n"/>
      <c r="I54" s="50" t="n"/>
      <c r="J54" s="50" t="n"/>
      <c r="K54" s="50" t="n"/>
      <c r="L54" s="49" t="n"/>
      <c r="M54" s="49" t="n"/>
      <c r="N54" s="49" t="n"/>
      <c r="O54" s="49" t="n"/>
      <c r="P54" s="50" t="n"/>
      <c r="Q54" s="49" t="n"/>
      <c r="R54" s="56">
        <f>IF(Q54="","",IFERROR(VLOOKUP(Q54,Lookups!$A$2:$B$8,2,FALSE),""))</f>
        <v/>
      </c>
      <c r="S54" s="53">
        <f>IF(B54="","",B54&amp;"|"&amp;TEXT(C54,"00"))</f>
        <v/>
      </c>
      <c r="T54" s="53">
        <f>IF(B54="","",B54&amp;"|"&amp;TEXT(C54-1,"00"))</f>
        <v/>
      </c>
      <c r="U54" s="53">
        <f>IFERROR(INDEX($Q:$Q,MATCH(T54,$S:$S,0)),"")</f>
        <v/>
      </c>
      <c r="V54" s="56">
        <f>IFERROR(INDEX($R:$R,MATCH(T54,$S:$S,0)),"")</f>
        <v/>
      </c>
      <c r="W54" s="56">
        <f>IF(U54="","",IF(Q54&lt;&gt;U54,1,0))</f>
        <v/>
      </c>
      <c r="X54" s="56">
        <f>IF(V54="","",IF(R54&lt;V54,1,0))</f>
        <v/>
      </c>
      <c r="Y54" s="56">
        <f>IF(V54="","",IF(R54&gt;V54,1,0))</f>
        <v/>
      </c>
      <c r="Z54" s="56">
        <f>IF(Q54="Pass",1,0)</f>
        <v/>
      </c>
      <c r="AA54" s="50" t="n"/>
      <c r="AB54" s="50" t="n"/>
      <c r="AC54" s="49" t="n"/>
      <c r="AD54" s="50" t="n"/>
      <c r="AE54" s="49" t="n"/>
    </row>
    <row r="55" ht="15.75" customHeight="1" s="40">
      <c r="A55" s="48" t="n"/>
      <c r="B55" s="48" t="n"/>
      <c r="C55" s="47" t="n"/>
      <c r="D55" s="48" t="n"/>
      <c r="E55" s="48" t="n"/>
      <c r="F55" s="48" t="n"/>
      <c r="G55" s="47" t="n"/>
      <c r="H55" s="50" t="n"/>
      <c r="I55" s="50" t="n"/>
      <c r="J55" s="50" t="n"/>
      <c r="K55" s="50" t="n"/>
      <c r="L55" s="49" t="n"/>
      <c r="M55" s="49" t="n"/>
      <c r="N55" s="49" t="n"/>
      <c r="O55" s="49" t="n"/>
      <c r="P55" s="50" t="n"/>
      <c r="Q55" s="49" t="n"/>
      <c r="R55" s="56">
        <f>IF(Q55="","",IFERROR(VLOOKUP(Q55,Lookups!$A$2:$B$8,2,FALSE),""))</f>
        <v/>
      </c>
      <c r="S55" s="53">
        <f>IF(B55="","",B55&amp;"|"&amp;TEXT(C55,"00"))</f>
        <v/>
      </c>
      <c r="T55" s="53">
        <f>IF(B55="","",B55&amp;"|"&amp;TEXT(C55-1,"00"))</f>
        <v/>
      </c>
      <c r="U55" s="53">
        <f>IFERROR(INDEX($Q:$Q,MATCH(T55,$S:$S,0)),"")</f>
        <v/>
      </c>
      <c r="V55" s="56">
        <f>IFERROR(INDEX($R:$R,MATCH(T55,$S:$S,0)),"")</f>
        <v/>
      </c>
      <c r="W55" s="56">
        <f>IF(U55="","",IF(Q55&lt;&gt;U55,1,0))</f>
        <v/>
      </c>
      <c r="X55" s="56">
        <f>IF(V55="","",IF(R55&lt;V55,1,0))</f>
        <v/>
      </c>
      <c r="Y55" s="56">
        <f>IF(V55="","",IF(R55&gt;V55,1,0))</f>
        <v/>
      </c>
      <c r="Z55" s="56">
        <f>IF(Q55="Pass",1,0)</f>
        <v/>
      </c>
      <c r="AA55" s="50" t="n"/>
      <c r="AB55" s="50" t="n"/>
      <c r="AC55" s="49" t="n"/>
      <c r="AD55" s="50" t="n"/>
      <c r="AE55" s="49" t="n"/>
    </row>
    <row r="56" ht="15.75" customHeight="1" s="40">
      <c r="A56" s="48" t="n"/>
      <c r="B56" s="48" t="n"/>
      <c r="C56" s="47" t="n"/>
      <c r="D56" s="48" t="n"/>
      <c r="E56" s="48" t="n"/>
      <c r="F56" s="48" t="n"/>
      <c r="G56" s="47" t="n"/>
      <c r="H56" s="50" t="n"/>
      <c r="I56" s="50" t="n"/>
      <c r="J56" s="50" t="n"/>
      <c r="K56" s="50" t="n"/>
      <c r="L56" s="49" t="n"/>
      <c r="M56" s="49" t="n"/>
      <c r="N56" s="49" t="n"/>
      <c r="O56" s="49" t="n"/>
      <c r="P56" s="50" t="n"/>
      <c r="Q56" s="49" t="n"/>
      <c r="R56" s="56">
        <f>IF(Q56="","",IFERROR(VLOOKUP(Q56,Lookups!$A$2:$B$8,2,FALSE),""))</f>
        <v/>
      </c>
      <c r="S56" s="53">
        <f>IF(B56="","",B56&amp;"|"&amp;TEXT(C56,"00"))</f>
        <v/>
      </c>
      <c r="T56" s="53">
        <f>IF(B56="","",B56&amp;"|"&amp;TEXT(C56-1,"00"))</f>
        <v/>
      </c>
      <c r="U56" s="53">
        <f>IFERROR(INDEX($Q:$Q,MATCH(T56,$S:$S,0)),"")</f>
        <v/>
      </c>
      <c r="V56" s="56">
        <f>IFERROR(INDEX($R:$R,MATCH(T56,$S:$S,0)),"")</f>
        <v/>
      </c>
      <c r="W56" s="56">
        <f>IF(U56="","",IF(Q56&lt;&gt;U56,1,0))</f>
        <v/>
      </c>
      <c r="X56" s="56">
        <f>IF(V56="","",IF(R56&lt;V56,1,0))</f>
        <v/>
      </c>
      <c r="Y56" s="56">
        <f>IF(V56="","",IF(R56&gt;V56,1,0))</f>
        <v/>
      </c>
      <c r="Z56" s="56">
        <f>IF(Q56="Pass",1,0)</f>
        <v/>
      </c>
      <c r="AA56" s="50" t="n"/>
      <c r="AB56" s="50" t="n"/>
      <c r="AC56" s="49" t="n"/>
      <c r="AD56" s="50" t="n"/>
      <c r="AE56" s="49" t="n"/>
    </row>
    <row r="57" ht="15.75" customHeight="1" s="40">
      <c r="A57" s="48" t="n"/>
      <c r="B57" s="48" t="n"/>
      <c r="C57" s="47" t="n"/>
      <c r="D57" s="48" t="n"/>
      <c r="E57" s="48" t="n"/>
      <c r="F57" s="48" t="n"/>
      <c r="G57" s="47" t="n"/>
      <c r="H57" s="50" t="n"/>
      <c r="I57" s="50" t="n"/>
      <c r="J57" s="50" t="n"/>
      <c r="K57" s="50" t="n"/>
      <c r="L57" s="49" t="n"/>
      <c r="M57" s="49" t="n"/>
      <c r="N57" s="49" t="n"/>
      <c r="O57" s="49" t="n"/>
      <c r="P57" s="50" t="n"/>
      <c r="Q57" s="49" t="n"/>
      <c r="R57" s="56">
        <f>IF(Q57="","",IFERROR(VLOOKUP(Q57,Lookups!$A$2:$B$8,2,FALSE),""))</f>
        <v/>
      </c>
      <c r="S57" s="53">
        <f>IF(B57="","",B57&amp;"|"&amp;TEXT(C57,"00"))</f>
        <v/>
      </c>
      <c r="T57" s="53">
        <f>IF(B57="","",B57&amp;"|"&amp;TEXT(C57-1,"00"))</f>
        <v/>
      </c>
      <c r="U57" s="53">
        <f>IFERROR(INDEX($Q:$Q,MATCH(T57,$S:$S,0)),"")</f>
        <v/>
      </c>
      <c r="V57" s="56">
        <f>IFERROR(INDEX($R:$R,MATCH(T57,$S:$S,0)),"")</f>
        <v/>
      </c>
      <c r="W57" s="56">
        <f>IF(U57="","",IF(Q57&lt;&gt;U57,1,0))</f>
        <v/>
      </c>
      <c r="X57" s="56">
        <f>IF(V57="","",IF(R57&lt;V57,1,0))</f>
        <v/>
      </c>
      <c r="Y57" s="56">
        <f>IF(V57="","",IF(R57&gt;V57,1,0))</f>
        <v/>
      </c>
      <c r="Z57" s="56">
        <f>IF(Q57="Pass",1,0)</f>
        <v/>
      </c>
      <c r="AA57" s="50" t="n"/>
      <c r="AB57" s="50" t="n"/>
      <c r="AC57" s="49" t="n"/>
      <c r="AD57" s="50" t="n"/>
      <c r="AE57" s="49" t="n"/>
    </row>
    <row r="58" ht="15.75" customHeight="1" s="40">
      <c r="A58" s="48" t="n"/>
      <c r="B58" s="48" t="n"/>
      <c r="C58" s="47" t="n"/>
      <c r="D58" s="48" t="n"/>
      <c r="E58" s="48" t="n"/>
      <c r="F58" s="48" t="n"/>
      <c r="G58" s="47" t="n"/>
      <c r="H58" s="50" t="n"/>
      <c r="I58" s="50" t="n"/>
      <c r="J58" s="50" t="n"/>
      <c r="K58" s="50" t="n"/>
      <c r="L58" s="49" t="n"/>
      <c r="M58" s="49" t="n"/>
      <c r="N58" s="49" t="n"/>
      <c r="O58" s="49" t="n"/>
      <c r="P58" s="50" t="n"/>
      <c r="Q58" s="49" t="n"/>
      <c r="R58" s="56">
        <f>IF(Q58="","",IFERROR(VLOOKUP(Q58,Lookups!$A$2:$B$8,2,FALSE),""))</f>
        <v/>
      </c>
      <c r="S58" s="53">
        <f>IF(B58="","",B58&amp;"|"&amp;TEXT(C58,"00"))</f>
        <v/>
      </c>
      <c r="T58" s="53">
        <f>IF(B58="","",B58&amp;"|"&amp;TEXT(C58-1,"00"))</f>
        <v/>
      </c>
      <c r="U58" s="53">
        <f>IFERROR(INDEX($Q:$Q,MATCH(T58,$S:$S,0)),"")</f>
        <v/>
      </c>
      <c r="V58" s="56">
        <f>IFERROR(INDEX($R:$R,MATCH(T58,$S:$S,0)),"")</f>
        <v/>
      </c>
      <c r="W58" s="56">
        <f>IF(U58="","",IF(Q58&lt;&gt;U58,1,0))</f>
        <v/>
      </c>
      <c r="X58" s="56">
        <f>IF(V58="","",IF(R58&lt;V58,1,0))</f>
        <v/>
      </c>
      <c r="Y58" s="56">
        <f>IF(V58="","",IF(R58&gt;V58,1,0))</f>
        <v/>
      </c>
      <c r="Z58" s="56">
        <f>IF(Q58="Pass",1,0)</f>
        <v/>
      </c>
      <c r="AA58" s="50" t="n"/>
      <c r="AB58" s="50" t="n"/>
      <c r="AC58" s="49" t="n"/>
      <c r="AD58" s="50" t="n"/>
      <c r="AE58" s="49" t="n"/>
    </row>
    <row r="59" ht="15.75" customHeight="1" s="40">
      <c r="A59" s="48" t="n"/>
      <c r="B59" s="48" t="n"/>
      <c r="C59" s="47" t="n"/>
      <c r="D59" s="48" t="n"/>
      <c r="E59" s="48" t="n"/>
      <c r="F59" s="48" t="n"/>
      <c r="G59" s="47" t="n"/>
      <c r="H59" s="50" t="n"/>
      <c r="I59" s="50" t="n"/>
      <c r="J59" s="50" t="n"/>
      <c r="K59" s="50" t="n"/>
      <c r="L59" s="49" t="n"/>
      <c r="M59" s="49" t="n"/>
      <c r="N59" s="49" t="n"/>
      <c r="O59" s="49" t="n"/>
      <c r="P59" s="50" t="n"/>
      <c r="Q59" s="49" t="n"/>
      <c r="R59" s="56">
        <f>IF(Q59="","",IFERROR(VLOOKUP(Q59,Lookups!$A$2:$B$8,2,FALSE),""))</f>
        <v/>
      </c>
      <c r="S59" s="53">
        <f>IF(B59="","",B59&amp;"|"&amp;TEXT(C59,"00"))</f>
        <v/>
      </c>
      <c r="T59" s="53">
        <f>IF(B59="","",B59&amp;"|"&amp;TEXT(C59-1,"00"))</f>
        <v/>
      </c>
      <c r="U59" s="53">
        <f>IFERROR(INDEX($Q:$Q,MATCH(T59,$S:$S,0)),"")</f>
        <v/>
      </c>
      <c r="V59" s="56">
        <f>IFERROR(INDEX($R:$R,MATCH(T59,$S:$S,0)),"")</f>
        <v/>
      </c>
      <c r="W59" s="56">
        <f>IF(U59="","",IF(Q59&lt;&gt;U59,1,0))</f>
        <v/>
      </c>
      <c r="X59" s="56">
        <f>IF(V59="","",IF(R59&lt;V59,1,0))</f>
        <v/>
      </c>
      <c r="Y59" s="56">
        <f>IF(V59="","",IF(R59&gt;V59,1,0))</f>
        <v/>
      </c>
      <c r="Z59" s="56">
        <f>IF(Q59="Pass",1,0)</f>
        <v/>
      </c>
      <c r="AA59" s="50" t="n"/>
      <c r="AB59" s="50" t="n"/>
      <c r="AC59" s="49" t="n"/>
      <c r="AD59" s="50" t="n"/>
      <c r="AE59" s="49" t="n"/>
    </row>
    <row r="60" ht="15.75" customHeight="1" s="40">
      <c r="A60" s="48" t="n"/>
      <c r="B60" s="48" t="n"/>
      <c r="C60" s="47" t="n"/>
      <c r="D60" s="48" t="n"/>
      <c r="E60" s="48" t="n"/>
      <c r="F60" s="48" t="n"/>
      <c r="G60" s="47" t="n"/>
      <c r="H60" s="50" t="n"/>
      <c r="I60" s="50" t="n"/>
      <c r="J60" s="50" t="n"/>
      <c r="K60" s="50" t="n"/>
      <c r="L60" s="49" t="n"/>
      <c r="M60" s="49" t="n"/>
      <c r="N60" s="49" t="n"/>
      <c r="O60" s="49" t="n"/>
      <c r="P60" s="50" t="n"/>
      <c r="Q60" s="49" t="n"/>
      <c r="R60" s="56">
        <f>IF(Q60="","",IFERROR(VLOOKUP(Q60,Lookups!$A$2:$B$8,2,FALSE),""))</f>
        <v/>
      </c>
      <c r="S60" s="53">
        <f>IF(B60="","",B60&amp;"|"&amp;TEXT(C60,"00"))</f>
        <v/>
      </c>
      <c r="T60" s="53">
        <f>IF(B60="","",B60&amp;"|"&amp;TEXT(C60-1,"00"))</f>
        <v/>
      </c>
      <c r="U60" s="53">
        <f>IFERROR(INDEX($Q:$Q,MATCH(T60,$S:$S,0)),"")</f>
        <v/>
      </c>
      <c r="V60" s="56">
        <f>IFERROR(INDEX($R:$R,MATCH(T60,$S:$S,0)),"")</f>
        <v/>
      </c>
      <c r="W60" s="56">
        <f>IF(U60="","",IF(Q60&lt;&gt;U60,1,0))</f>
        <v/>
      </c>
      <c r="X60" s="56">
        <f>IF(V60="","",IF(R60&lt;V60,1,0))</f>
        <v/>
      </c>
      <c r="Y60" s="56">
        <f>IF(V60="","",IF(R60&gt;V60,1,0))</f>
        <v/>
      </c>
      <c r="Z60" s="56">
        <f>IF(Q60="Pass",1,0)</f>
        <v/>
      </c>
      <c r="AA60" s="50" t="n"/>
      <c r="AB60" s="50" t="n"/>
      <c r="AC60" s="49" t="n"/>
      <c r="AD60" s="50" t="n"/>
      <c r="AE60" s="49" t="n"/>
    </row>
    <row r="61" ht="15.75" customHeight="1" s="40">
      <c r="A61" s="48" t="n"/>
      <c r="B61" s="48" t="n"/>
      <c r="C61" s="47" t="n"/>
      <c r="D61" s="48" t="n"/>
      <c r="E61" s="48" t="n"/>
      <c r="F61" s="48" t="n"/>
      <c r="G61" s="47" t="n"/>
      <c r="H61" s="50" t="n"/>
      <c r="I61" s="50" t="n"/>
      <c r="J61" s="50" t="n"/>
      <c r="K61" s="50" t="n"/>
      <c r="L61" s="49" t="n"/>
      <c r="M61" s="49" t="n"/>
      <c r="N61" s="49" t="n"/>
      <c r="O61" s="49" t="n"/>
      <c r="P61" s="50" t="n"/>
      <c r="Q61" s="49" t="n"/>
      <c r="R61" s="56">
        <f>IF(Q61="","",IFERROR(VLOOKUP(Q61,Lookups!$A$2:$B$8,2,FALSE),""))</f>
        <v/>
      </c>
      <c r="S61" s="53">
        <f>IF(B61="","",B61&amp;"|"&amp;TEXT(C61,"00"))</f>
        <v/>
      </c>
      <c r="T61" s="53">
        <f>IF(B61="","",B61&amp;"|"&amp;TEXT(C61-1,"00"))</f>
        <v/>
      </c>
      <c r="U61" s="53">
        <f>IFERROR(INDEX($Q:$Q,MATCH(T61,$S:$S,0)),"")</f>
        <v/>
      </c>
      <c r="V61" s="56">
        <f>IFERROR(INDEX($R:$R,MATCH(T61,$S:$S,0)),"")</f>
        <v/>
      </c>
      <c r="W61" s="56">
        <f>IF(U61="","",IF(Q61&lt;&gt;U61,1,0))</f>
        <v/>
      </c>
      <c r="X61" s="56">
        <f>IF(V61="","",IF(R61&lt;V61,1,0))</f>
        <v/>
      </c>
      <c r="Y61" s="56">
        <f>IF(V61="","",IF(R61&gt;V61,1,0))</f>
        <v/>
      </c>
      <c r="Z61" s="56">
        <f>IF(Q61="Pass",1,0)</f>
        <v/>
      </c>
      <c r="AA61" s="50" t="n"/>
      <c r="AB61" s="50" t="n"/>
      <c r="AC61" s="49" t="n"/>
      <c r="AD61" s="50" t="n"/>
      <c r="AE61" s="49" t="n"/>
    </row>
    <row r="62" ht="15.75" customHeight="1" s="40">
      <c r="A62" s="48" t="n"/>
      <c r="B62" s="48" t="n"/>
      <c r="C62" s="47" t="n"/>
      <c r="D62" s="48" t="n"/>
      <c r="E62" s="48" t="n"/>
      <c r="F62" s="48" t="n"/>
      <c r="G62" s="47" t="n"/>
      <c r="H62" s="50" t="n"/>
      <c r="I62" s="50" t="n"/>
      <c r="J62" s="50" t="n"/>
      <c r="K62" s="50" t="n"/>
      <c r="L62" s="49" t="n"/>
      <c r="M62" s="49" t="n"/>
      <c r="N62" s="49" t="n"/>
      <c r="O62" s="49" t="n"/>
      <c r="P62" s="50" t="n"/>
      <c r="Q62" s="49" t="n"/>
      <c r="R62" s="56">
        <f>IF(Q62="","",IFERROR(VLOOKUP(Q62,Lookups!$A$2:$B$8,2,FALSE),""))</f>
        <v/>
      </c>
      <c r="S62" s="53">
        <f>IF(B62="","",B62&amp;"|"&amp;TEXT(C62,"00"))</f>
        <v/>
      </c>
      <c r="T62" s="53">
        <f>IF(B62="","",B62&amp;"|"&amp;TEXT(C62-1,"00"))</f>
        <v/>
      </c>
      <c r="U62" s="53">
        <f>IFERROR(INDEX($Q:$Q,MATCH(T62,$S:$S,0)),"")</f>
        <v/>
      </c>
      <c r="V62" s="56">
        <f>IFERROR(INDEX($R:$R,MATCH(T62,$S:$S,0)),"")</f>
        <v/>
      </c>
      <c r="W62" s="56">
        <f>IF(U62="","",IF(Q62&lt;&gt;U62,1,0))</f>
        <v/>
      </c>
      <c r="X62" s="56">
        <f>IF(V62="","",IF(R62&lt;V62,1,0))</f>
        <v/>
      </c>
      <c r="Y62" s="56">
        <f>IF(V62="","",IF(R62&gt;V62,1,0))</f>
        <v/>
      </c>
      <c r="Z62" s="56">
        <f>IF(Q62="Pass",1,0)</f>
        <v/>
      </c>
      <c r="AA62" s="50" t="n"/>
      <c r="AB62" s="50" t="n"/>
      <c r="AC62" s="49" t="n"/>
      <c r="AD62" s="50" t="n"/>
      <c r="AE62" s="49" t="n"/>
    </row>
    <row r="63" ht="15.75" customHeight="1" s="40">
      <c r="A63" s="48" t="n"/>
      <c r="B63" s="48" t="n"/>
      <c r="C63" s="47" t="n"/>
      <c r="D63" s="48" t="n"/>
      <c r="E63" s="48" t="n"/>
      <c r="F63" s="48" t="n"/>
      <c r="G63" s="47" t="n"/>
      <c r="H63" s="50" t="n"/>
      <c r="I63" s="50" t="n"/>
      <c r="J63" s="50" t="n"/>
      <c r="K63" s="50" t="n"/>
      <c r="L63" s="49" t="n"/>
      <c r="M63" s="49" t="n"/>
      <c r="N63" s="49" t="n"/>
      <c r="O63" s="49" t="n"/>
      <c r="P63" s="50" t="n"/>
      <c r="Q63" s="49" t="n"/>
      <c r="R63" s="56">
        <f>IF(Q63="","",IFERROR(VLOOKUP(Q63,Lookups!$A$2:$B$8,2,FALSE),""))</f>
        <v/>
      </c>
      <c r="S63" s="53">
        <f>IF(B63="","",B63&amp;"|"&amp;TEXT(C63,"00"))</f>
        <v/>
      </c>
      <c r="T63" s="53">
        <f>IF(B63="","",B63&amp;"|"&amp;TEXT(C63-1,"00"))</f>
        <v/>
      </c>
      <c r="U63" s="53">
        <f>IFERROR(INDEX($Q:$Q,MATCH(T63,$S:$S,0)),"")</f>
        <v/>
      </c>
      <c r="V63" s="56">
        <f>IFERROR(INDEX($R:$R,MATCH(T63,$S:$S,0)),"")</f>
        <v/>
      </c>
      <c r="W63" s="56">
        <f>IF(U63="","",IF(Q63&lt;&gt;U63,1,0))</f>
        <v/>
      </c>
      <c r="X63" s="56">
        <f>IF(V63="","",IF(R63&lt;V63,1,0))</f>
        <v/>
      </c>
      <c r="Y63" s="56">
        <f>IF(V63="","",IF(R63&gt;V63,1,0))</f>
        <v/>
      </c>
      <c r="Z63" s="56">
        <f>IF(Q63="Pass",1,0)</f>
        <v/>
      </c>
      <c r="AA63" s="50" t="n"/>
      <c r="AB63" s="50" t="n"/>
      <c r="AC63" s="49" t="n"/>
      <c r="AD63" s="50" t="n"/>
      <c r="AE63" s="49" t="n"/>
    </row>
    <row r="64" ht="15.75" customHeight="1" s="40">
      <c r="A64" s="48" t="n"/>
      <c r="B64" s="48" t="n"/>
      <c r="C64" s="47" t="n"/>
      <c r="D64" s="48" t="n"/>
      <c r="E64" s="48" t="n"/>
      <c r="F64" s="48" t="n"/>
      <c r="G64" s="47" t="n"/>
      <c r="H64" s="50" t="n"/>
      <c r="I64" s="50" t="n"/>
      <c r="J64" s="50" t="n"/>
      <c r="K64" s="50" t="n"/>
      <c r="L64" s="49" t="n"/>
      <c r="M64" s="49" t="n"/>
      <c r="N64" s="49" t="n"/>
      <c r="O64" s="49" t="n"/>
      <c r="P64" s="50" t="n"/>
      <c r="Q64" s="49" t="n"/>
      <c r="R64" s="56">
        <f>IF(Q64="","",IFERROR(VLOOKUP(Q64,Lookups!$A$2:$B$8,2,FALSE),""))</f>
        <v/>
      </c>
      <c r="S64" s="53">
        <f>IF(B64="","",B64&amp;"|"&amp;TEXT(C64,"00"))</f>
        <v/>
      </c>
      <c r="T64" s="53">
        <f>IF(B64="","",B64&amp;"|"&amp;TEXT(C64-1,"00"))</f>
        <v/>
      </c>
      <c r="U64" s="53">
        <f>IFERROR(INDEX($Q:$Q,MATCH(T64,$S:$S,0)),"")</f>
        <v/>
      </c>
      <c r="V64" s="56">
        <f>IFERROR(INDEX($R:$R,MATCH(T64,$S:$S,0)),"")</f>
        <v/>
      </c>
      <c r="W64" s="56">
        <f>IF(U64="","",IF(Q64&lt;&gt;U64,1,0))</f>
        <v/>
      </c>
      <c r="X64" s="56">
        <f>IF(V64="","",IF(R64&lt;V64,1,0))</f>
        <v/>
      </c>
      <c r="Y64" s="56">
        <f>IF(V64="","",IF(R64&gt;V64,1,0))</f>
        <v/>
      </c>
      <c r="Z64" s="56">
        <f>IF(Q64="Pass",1,0)</f>
        <v/>
      </c>
      <c r="AA64" s="50" t="n"/>
      <c r="AB64" s="50" t="n"/>
      <c r="AC64" s="49" t="n"/>
      <c r="AD64" s="50" t="n"/>
      <c r="AE64" s="49" t="n"/>
    </row>
    <row r="65" ht="15.75" customHeight="1" s="40">
      <c r="A65" s="48" t="n"/>
      <c r="B65" s="48" t="n"/>
      <c r="C65" s="47" t="n"/>
      <c r="D65" s="48" t="n"/>
      <c r="E65" s="48" t="n"/>
      <c r="F65" s="48" t="n"/>
      <c r="G65" s="47" t="n"/>
      <c r="H65" s="50" t="n"/>
      <c r="I65" s="50" t="n"/>
      <c r="J65" s="50" t="n"/>
      <c r="K65" s="50" t="n"/>
      <c r="L65" s="49" t="n"/>
      <c r="M65" s="49" t="n"/>
      <c r="N65" s="49" t="n"/>
      <c r="O65" s="49" t="n"/>
      <c r="P65" s="50" t="n"/>
      <c r="Q65" s="49" t="n"/>
      <c r="R65" s="56">
        <f>IF(Q65="","",IFERROR(VLOOKUP(Q65,Lookups!$A$2:$B$8,2,FALSE),""))</f>
        <v/>
      </c>
      <c r="S65" s="53">
        <f>IF(B65="","",B65&amp;"|"&amp;TEXT(C65,"00"))</f>
        <v/>
      </c>
      <c r="T65" s="53">
        <f>IF(B65="","",B65&amp;"|"&amp;TEXT(C65-1,"00"))</f>
        <v/>
      </c>
      <c r="U65" s="53">
        <f>IFERROR(INDEX($Q:$Q,MATCH(T65,$S:$S,0)),"")</f>
        <v/>
      </c>
      <c r="V65" s="56">
        <f>IFERROR(INDEX($R:$R,MATCH(T65,$S:$S,0)),"")</f>
        <v/>
      </c>
      <c r="W65" s="56">
        <f>IF(U65="","",IF(Q65&lt;&gt;U65,1,0))</f>
        <v/>
      </c>
      <c r="X65" s="56">
        <f>IF(V65="","",IF(R65&lt;V65,1,0))</f>
        <v/>
      </c>
      <c r="Y65" s="56">
        <f>IF(V65="","",IF(R65&gt;V65,1,0))</f>
        <v/>
      </c>
      <c r="Z65" s="56">
        <f>IF(Q65="Pass",1,0)</f>
        <v/>
      </c>
      <c r="AA65" s="50" t="n"/>
      <c r="AB65" s="50" t="n"/>
      <c r="AC65" s="49" t="n"/>
      <c r="AD65" s="50" t="n"/>
      <c r="AE65" s="49" t="n"/>
    </row>
    <row r="66" ht="15.75" customHeight="1" s="40">
      <c r="A66" s="48" t="n"/>
      <c r="B66" s="48" t="n"/>
      <c r="C66" s="47" t="n"/>
      <c r="D66" s="48" t="n"/>
      <c r="E66" s="48" t="n"/>
      <c r="F66" s="48" t="n"/>
      <c r="G66" s="47" t="n"/>
      <c r="H66" s="50" t="n"/>
      <c r="I66" s="50" t="n"/>
      <c r="J66" s="50" t="n"/>
      <c r="K66" s="50" t="n"/>
      <c r="L66" s="49" t="n"/>
      <c r="M66" s="49" t="n"/>
      <c r="N66" s="49" t="n"/>
      <c r="O66" s="49" t="n"/>
      <c r="P66" s="50" t="n"/>
      <c r="Q66" s="49" t="n"/>
      <c r="R66" s="56">
        <f>IF(Q66="","",IFERROR(VLOOKUP(Q66,Lookups!$A$2:$B$8,2,FALSE),""))</f>
        <v/>
      </c>
      <c r="S66" s="53">
        <f>IF(B66="","",B66&amp;"|"&amp;TEXT(C66,"00"))</f>
        <v/>
      </c>
      <c r="T66" s="53">
        <f>IF(B66="","",B66&amp;"|"&amp;TEXT(C66-1,"00"))</f>
        <v/>
      </c>
      <c r="U66" s="53">
        <f>IFERROR(INDEX($Q:$Q,MATCH(T66,$S:$S,0)),"")</f>
        <v/>
      </c>
      <c r="V66" s="56">
        <f>IFERROR(INDEX($R:$R,MATCH(T66,$S:$S,0)),"")</f>
        <v/>
      </c>
      <c r="W66" s="56">
        <f>IF(U66="","",IF(Q66&lt;&gt;U66,1,0))</f>
        <v/>
      </c>
      <c r="X66" s="56">
        <f>IF(V66="","",IF(R66&lt;V66,1,0))</f>
        <v/>
      </c>
      <c r="Y66" s="56">
        <f>IF(V66="","",IF(R66&gt;V66,1,0))</f>
        <v/>
      </c>
      <c r="Z66" s="56">
        <f>IF(Q66="Pass",1,0)</f>
        <v/>
      </c>
      <c r="AA66" s="50" t="n"/>
      <c r="AB66" s="50" t="n"/>
      <c r="AC66" s="49" t="n"/>
      <c r="AD66" s="50" t="n"/>
      <c r="AE66" s="49" t="n"/>
    </row>
    <row r="67" ht="15.75" customHeight="1" s="40">
      <c r="A67" s="48" t="n"/>
      <c r="B67" s="48" t="n"/>
      <c r="C67" s="47" t="n"/>
      <c r="D67" s="48" t="n"/>
      <c r="E67" s="48" t="n"/>
      <c r="F67" s="48" t="n"/>
      <c r="G67" s="47" t="n"/>
      <c r="H67" s="50" t="n"/>
      <c r="I67" s="50" t="n"/>
      <c r="J67" s="50" t="n"/>
      <c r="K67" s="50" t="n"/>
      <c r="L67" s="49" t="n"/>
      <c r="M67" s="49" t="n"/>
      <c r="N67" s="49" t="n"/>
      <c r="O67" s="49" t="n"/>
      <c r="P67" s="50" t="n"/>
      <c r="Q67" s="49" t="n"/>
      <c r="R67" s="56">
        <f>IF(Q67="","",IFERROR(VLOOKUP(Q67,Lookups!$A$2:$B$8,2,FALSE),""))</f>
        <v/>
      </c>
      <c r="S67" s="53">
        <f>IF(B67="","",B67&amp;"|"&amp;TEXT(C67,"00"))</f>
        <v/>
      </c>
      <c r="T67" s="53">
        <f>IF(B67="","",B67&amp;"|"&amp;TEXT(C67-1,"00"))</f>
        <v/>
      </c>
      <c r="U67" s="53">
        <f>IFERROR(INDEX($Q:$Q,MATCH(T67,$S:$S,0)),"")</f>
        <v/>
      </c>
      <c r="V67" s="56">
        <f>IFERROR(INDEX($R:$R,MATCH(T67,$S:$S,0)),"")</f>
        <v/>
      </c>
      <c r="W67" s="56">
        <f>IF(U67="","",IF(Q67&lt;&gt;U67,1,0))</f>
        <v/>
      </c>
      <c r="X67" s="56">
        <f>IF(V67="","",IF(R67&lt;V67,1,0))</f>
        <v/>
      </c>
      <c r="Y67" s="56">
        <f>IF(V67="","",IF(R67&gt;V67,1,0))</f>
        <v/>
      </c>
      <c r="Z67" s="56">
        <f>IF(Q67="Pass",1,0)</f>
        <v/>
      </c>
      <c r="AA67" s="50" t="n"/>
      <c r="AB67" s="50" t="n"/>
      <c r="AC67" s="49" t="n"/>
      <c r="AD67" s="50" t="n"/>
      <c r="AE67" s="49" t="n"/>
    </row>
    <row r="68" ht="15.75" customHeight="1" s="40">
      <c r="A68" s="48" t="n"/>
      <c r="B68" s="48" t="n"/>
      <c r="C68" s="47" t="n"/>
      <c r="D68" s="48" t="n"/>
      <c r="E68" s="48" t="n"/>
      <c r="F68" s="48" t="n"/>
      <c r="G68" s="47" t="n"/>
      <c r="H68" s="50" t="n"/>
      <c r="I68" s="50" t="n"/>
      <c r="J68" s="50" t="n"/>
      <c r="K68" s="50" t="n"/>
      <c r="L68" s="49" t="n"/>
      <c r="M68" s="49" t="n"/>
      <c r="N68" s="49" t="n"/>
      <c r="O68" s="49" t="n"/>
      <c r="P68" s="50" t="n"/>
      <c r="Q68" s="49" t="n"/>
      <c r="R68" s="56">
        <f>IF(Q68="","",IFERROR(VLOOKUP(Q68,Lookups!$A$2:$B$8,2,FALSE),""))</f>
        <v/>
      </c>
      <c r="S68" s="53">
        <f>IF(B68="","",B68&amp;"|"&amp;TEXT(C68,"00"))</f>
        <v/>
      </c>
      <c r="T68" s="53">
        <f>IF(B68="","",B68&amp;"|"&amp;TEXT(C68-1,"00"))</f>
        <v/>
      </c>
      <c r="U68" s="53">
        <f>IFERROR(INDEX($Q:$Q,MATCH(T68,$S:$S,0)),"")</f>
        <v/>
      </c>
      <c r="V68" s="56">
        <f>IFERROR(INDEX($R:$R,MATCH(T68,$S:$S,0)),"")</f>
        <v/>
      </c>
      <c r="W68" s="56">
        <f>IF(U68="","",IF(Q68&lt;&gt;U68,1,0))</f>
        <v/>
      </c>
      <c r="X68" s="56">
        <f>IF(V68="","",IF(R68&lt;V68,1,0))</f>
        <v/>
      </c>
      <c r="Y68" s="56">
        <f>IF(V68="","",IF(R68&gt;V68,1,0))</f>
        <v/>
      </c>
      <c r="Z68" s="56">
        <f>IF(Q68="Pass",1,0)</f>
        <v/>
      </c>
      <c r="AA68" s="50" t="n"/>
      <c r="AB68" s="50" t="n"/>
      <c r="AC68" s="49" t="n"/>
      <c r="AD68" s="50" t="n"/>
      <c r="AE68" s="49" t="n"/>
    </row>
    <row r="69" ht="15.75" customHeight="1" s="40">
      <c r="A69" s="48" t="n"/>
      <c r="B69" s="48" t="n"/>
      <c r="C69" s="47" t="n"/>
      <c r="D69" s="48" t="n"/>
      <c r="E69" s="48" t="n"/>
      <c r="F69" s="48" t="n"/>
      <c r="G69" s="47" t="n"/>
      <c r="H69" s="50" t="n"/>
      <c r="I69" s="50" t="n"/>
      <c r="J69" s="50" t="n"/>
      <c r="K69" s="50" t="n"/>
      <c r="L69" s="49" t="n"/>
      <c r="M69" s="49" t="n"/>
      <c r="N69" s="49" t="n"/>
      <c r="O69" s="49" t="n"/>
      <c r="P69" s="50" t="n"/>
      <c r="Q69" s="49" t="n"/>
      <c r="R69" s="56">
        <f>IF(Q69="","",IFERROR(VLOOKUP(Q69,Lookups!$A$2:$B$8,2,FALSE),""))</f>
        <v/>
      </c>
      <c r="S69" s="53">
        <f>IF(B69="","",B69&amp;"|"&amp;TEXT(C69,"00"))</f>
        <v/>
      </c>
      <c r="T69" s="53">
        <f>IF(B69="","",B69&amp;"|"&amp;TEXT(C69-1,"00"))</f>
        <v/>
      </c>
      <c r="U69" s="53">
        <f>IFERROR(INDEX($Q:$Q,MATCH(T69,$S:$S,0)),"")</f>
        <v/>
      </c>
      <c r="V69" s="56">
        <f>IFERROR(INDEX($R:$R,MATCH(T69,$S:$S,0)),"")</f>
        <v/>
      </c>
      <c r="W69" s="56">
        <f>IF(U69="","",IF(Q69&lt;&gt;U69,1,0))</f>
        <v/>
      </c>
      <c r="X69" s="56">
        <f>IF(V69="","",IF(R69&lt;V69,1,0))</f>
        <v/>
      </c>
      <c r="Y69" s="56">
        <f>IF(V69="","",IF(R69&gt;V69,1,0))</f>
        <v/>
      </c>
      <c r="Z69" s="56">
        <f>IF(Q69="Pass",1,0)</f>
        <v/>
      </c>
      <c r="AA69" s="50" t="n"/>
      <c r="AB69" s="50" t="n"/>
      <c r="AC69" s="49" t="n"/>
      <c r="AD69" s="50" t="n"/>
      <c r="AE69" s="49" t="n"/>
    </row>
    <row r="70" ht="15.75" customHeight="1" s="40">
      <c r="A70" s="48" t="n"/>
      <c r="B70" s="48" t="n"/>
      <c r="C70" s="47" t="n"/>
      <c r="D70" s="48" t="n"/>
      <c r="E70" s="48" t="n"/>
      <c r="F70" s="48" t="n"/>
      <c r="G70" s="47" t="n"/>
      <c r="H70" s="50" t="n"/>
      <c r="I70" s="50" t="n"/>
      <c r="J70" s="50" t="n"/>
      <c r="K70" s="50" t="n"/>
      <c r="L70" s="49" t="n"/>
      <c r="M70" s="49" t="n"/>
      <c r="N70" s="49" t="n"/>
      <c r="O70" s="49" t="n"/>
      <c r="P70" s="50" t="n"/>
      <c r="Q70" s="49" t="n"/>
      <c r="R70" s="56">
        <f>IF(Q70="","",IFERROR(VLOOKUP(Q70,Lookups!$A$2:$B$8,2,FALSE),""))</f>
        <v/>
      </c>
      <c r="S70" s="53">
        <f>IF(B70="","",B70&amp;"|"&amp;TEXT(C70,"00"))</f>
        <v/>
      </c>
      <c r="T70" s="53">
        <f>IF(B70="","",B70&amp;"|"&amp;TEXT(C70-1,"00"))</f>
        <v/>
      </c>
      <c r="U70" s="53">
        <f>IFERROR(INDEX($Q:$Q,MATCH(T70,$S:$S,0)),"")</f>
        <v/>
      </c>
      <c r="V70" s="56">
        <f>IFERROR(INDEX($R:$R,MATCH(T70,$S:$S,0)),"")</f>
        <v/>
      </c>
      <c r="W70" s="56">
        <f>IF(U70="","",IF(Q70&lt;&gt;U70,1,0))</f>
        <v/>
      </c>
      <c r="X70" s="56">
        <f>IF(V70="","",IF(R70&lt;V70,1,0))</f>
        <v/>
      </c>
      <c r="Y70" s="56">
        <f>IF(V70="","",IF(R70&gt;V70,1,0))</f>
        <v/>
      </c>
      <c r="Z70" s="56">
        <f>IF(Q70="Pass",1,0)</f>
        <v/>
      </c>
      <c r="AA70" s="50" t="n"/>
      <c r="AB70" s="50" t="n"/>
      <c r="AC70" s="49" t="n"/>
      <c r="AD70" s="50" t="n"/>
      <c r="AE70" s="49" t="n"/>
    </row>
    <row r="71" ht="15.75" customHeight="1" s="40">
      <c r="A71" s="48" t="n"/>
      <c r="B71" s="48" t="n"/>
      <c r="C71" s="47" t="n"/>
      <c r="D71" s="48" t="n"/>
      <c r="E71" s="48" t="n"/>
      <c r="F71" s="48" t="n"/>
      <c r="G71" s="47" t="n"/>
      <c r="H71" s="50" t="n"/>
      <c r="I71" s="50" t="n"/>
      <c r="J71" s="50" t="n"/>
      <c r="K71" s="50" t="n"/>
      <c r="L71" s="49" t="n"/>
      <c r="M71" s="49" t="n"/>
      <c r="N71" s="49" t="n"/>
      <c r="O71" s="49" t="n"/>
      <c r="P71" s="50" t="n"/>
      <c r="Q71" s="49" t="n"/>
      <c r="R71" s="56">
        <f>IF(Q71="","",IFERROR(VLOOKUP(Q71,Lookups!$A$2:$B$8,2,FALSE),""))</f>
        <v/>
      </c>
      <c r="S71" s="53">
        <f>IF(B71="","",B71&amp;"|"&amp;TEXT(C71,"00"))</f>
        <v/>
      </c>
      <c r="T71" s="53">
        <f>IF(B71="","",B71&amp;"|"&amp;TEXT(C71-1,"00"))</f>
        <v/>
      </c>
      <c r="U71" s="53">
        <f>IFERROR(INDEX($Q:$Q,MATCH(T71,$S:$S,0)),"")</f>
        <v/>
      </c>
      <c r="V71" s="56">
        <f>IFERROR(INDEX($R:$R,MATCH(T71,$S:$S,0)),"")</f>
        <v/>
      </c>
      <c r="W71" s="56">
        <f>IF(U71="","",IF(Q71&lt;&gt;U71,1,0))</f>
        <v/>
      </c>
      <c r="X71" s="56">
        <f>IF(V71="","",IF(R71&lt;V71,1,0))</f>
        <v/>
      </c>
      <c r="Y71" s="56">
        <f>IF(V71="","",IF(R71&gt;V71,1,0))</f>
        <v/>
      </c>
      <c r="Z71" s="56">
        <f>IF(Q71="Pass",1,0)</f>
        <v/>
      </c>
      <c r="AA71" s="50" t="n"/>
      <c r="AB71" s="50" t="n"/>
      <c r="AC71" s="49" t="n"/>
      <c r="AD71" s="50" t="n"/>
      <c r="AE71" s="49" t="n"/>
    </row>
    <row r="72" ht="15.75" customHeight="1" s="40">
      <c r="A72" s="48" t="n"/>
      <c r="B72" s="48" t="n"/>
      <c r="C72" s="47" t="n"/>
      <c r="D72" s="48" t="n"/>
      <c r="E72" s="48" t="n"/>
      <c r="F72" s="48" t="n"/>
      <c r="G72" s="47" t="n"/>
      <c r="H72" s="50" t="n"/>
      <c r="I72" s="50" t="n"/>
      <c r="J72" s="50" t="n"/>
      <c r="K72" s="50" t="n"/>
      <c r="L72" s="49" t="n"/>
      <c r="M72" s="49" t="n"/>
      <c r="N72" s="49" t="n"/>
      <c r="O72" s="49" t="n"/>
      <c r="P72" s="50" t="n"/>
      <c r="Q72" s="49" t="n"/>
      <c r="R72" s="56">
        <f>IF(Q72="","",IFERROR(VLOOKUP(Q72,Lookups!$A$2:$B$8,2,FALSE),""))</f>
        <v/>
      </c>
      <c r="S72" s="53">
        <f>IF(B72="","",B72&amp;"|"&amp;TEXT(C72,"00"))</f>
        <v/>
      </c>
      <c r="T72" s="53">
        <f>IF(B72="","",B72&amp;"|"&amp;TEXT(C72-1,"00"))</f>
        <v/>
      </c>
      <c r="U72" s="53">
        <f>IFERROR(INDEX($Q:$Q,MATCH(T72,$S:$S,0)),"")</f>
        <v/>
      </c>
      <c r="V72" s="56">
        <f>IFERROR(INDEX($R:$R,MATCH(T72,$S:$S,0)),"")</f>
        <v/>
      </c>
      <c r="W72" s="56">
        <f>IF(U72="","",IF(Q72&lt;&gt;U72,1,0))</f>
        <v/>
      </c>
      <c r="X72" s="56">
        <f>IF(V72="","",IF(R72&lt;V72,1,0))</f>
        <v/>
      </c>
      <c r="Y72" s="56">
        <f>IF(V72="","",IF(R72&gt;V72,1,0))</f>
        <v/>
      </c>
      <c r="Z72" s="56">
        <f>IF(Q72="Pass",1,0)</f>
        <v/>
      </c>
      <c r="AA72" s="50" t="n"/>
      <c r="AB72" s="50" t="n"/>
      <c r="AC72" s="49" t="n"/>
      <c r="AD72" s="50" t="n"/>
      <c r="AE72" s="49" t="n"/>
    </row>
    <row r="73" ht="15.75" customHeight="1" s="40">
      <c r="A73" s="48" t="n"/>
      <c r="B73" s="48" t="n"/>
      <c r="C73" s="47" t="n"/>
      <c r="D73" s="48" t="n"/>
      <c r="E73" s="48" t="n"/>
      <c r="F73" s="48" t="n"/>
      <c r="G73" s="47" t="n"/>
      <c r="H73" s="50" t="n"/>
      <c r="I73" s="50" t="n"/>
      <c r="J73" s="50" t="n"/>
      <c r="K73" s="50" t="n"/>
      <c r="L73" s="49" t="n"/>
      <c r="M73" s="49" t="n"/>
      <c r="N73" s="49" t="n"/>
      <c r="O73" s="49" t="n"/>
      <c r="P73" s="50" t="n"/>
      <c r="Q73" s="49" t="n"/>
      <c r="R73" s="56">
        <f>IF(Q73="","",IFERROR(VLOOKUP(Q73,Lookups!$A$2:$B$8,2,FALSE),""))</f>
        <v/>
      </c>
      <c r="S73" s="53">
        <f>IF(B73="","",B73&amp;"|"&amp;TEXT(C73,"00"))</f>
        <v/>
      </c>
      <c r="T73" s="53">
        <f>IF(B73="","",B73&amp;"|"&amp;TEXT(C73-1,"00"))</f>
        <v/>
      </c>
      <c r="U73" s="53">
        <f>IFERROR(INDEX($Q:$Q,MATCH(T73,$S:$S,0)),"")</f>
        <v/>
      </c>
      <c r="V73" s="56">
        <f>IFERROR(INDEX($R:$R,MATCH(T73,$S:$S,0)),"")</f>
        <v/>
      </c>
      <c r="W73" s="56">
        <f>IF(U73="","",IF(Q73&lt;&gt;U73,1,0))</f>
        <v/>
      </c>
      <c r="X73" s="56">
        <f>IF(V73="","",IF(R73&lt;V73,1,0))</f>
        <v/>
      </c>
      <c r="Y73" s="56">
        <f>IF(V73="","",IF(R73&gt;V73,1,0))</f>
        <v/>
      </c>
      <c r="Z73" s="56">
        <f>IF(Q73="Pass",1,0)</f>
        <v/>
      </c>
      <c r="AA73" s="50" t="n"/>
      <c r="AB73" s="50" t="n"/>
      <c r="AC73" s="49" t="n"/>
      <c r="AD73" s="50" t="n"/>
      <c r="AE73" s="49" t="n"/>
    </row>
    <row r="74" ht="15.75" customHeight="1" s="40">
      <c r="A74" s="48" t="n"/>
      <c r="B74" s="48" t="n"/>
      <c r="C74" s="47" t="n"/>
      <c r="D74" s="48" t="n"/>
      <c r="E74" s="48" t="n"/>
      <c r="F74" s="48" t="n"/>
      <c r="G74" s="47" t="n"/>
      <c r="H74" s="50" t="n"/>
      <c r="I74" s="50" t="n"/>
      <c r="J74" s="50" t="n"/>
      <c r="K74" s="50" t="n"/>
      <c r="L74" s="49" t="n"/>
      <c r="M74" s="49" t="n"/>
      <c r="N74" s="49" t="n"/>
      <c r="O74" s="49" t="n"/>
      <c r="P74" s="50" t="n"/>
      <c r="Q74" s="49" t="n"/>
      <c r="R74" s="56">
        <f>IF(Q74="","",IFERROR(VLOOKUP(Q74,Lookups!$A$2:$B$8,2,FALSE),""))</f>
        <v/>
      </c>
      <c r="S74" s="53">
        <f>IF(B74="","",B74&amp;"|"&amp;TEXT(C74,"00"))</f>
        <v/>
      </c>
      <c r="T74" s="53">
        <f>IF(B74="","",B74&amp;"|"&amp;TEXT(C74-1,"00"))</f>
        <v/>
      </c>
      <c r="U74" s="53">
        <f>IFERROR(INDEX($Q:$Q,MATCH(T74,$S:$S,0)),"")</f>
        <v/>
      </c>
      <c r="V74" s="56">
        <f>IFERROR(INDEX($R:$R,MATCH(T74,$S:$S,0)),"")</f>
        <v/>
      </c>
      <c r="W74" s="56">
        <f>IF(U74="","",IF(Q74&lt;&gt;U74,1,0))</f>
        <v/>
      </c>
      <c r="X74" s="56">
        <f>IF(V74="","",IF(R74&lt;V74,1,0))</f>
        <v/>
      </c>
      <c r="Y74" s="56">
        <f>IF(V74="","",IF(R74&gt;V74,1,0))</f>
        <v/>
      </c>
      <c r="Z74" s="56">
        <f>IF(Q74="Pass",1,0)</f>
        <v/>
      </c>
      <c r="AA74" s="50" t="n"/>
      <c r="AB74" s="50" t="n"/>
      <c r="AC74" s="49" t="n"/>
      <c r="AD74" s="50" t="n"/>
      <c r="AE74" s="49" t="n"/>
    </row>
    <row r="75" ht="15.75" customHeight="1" s="40">
      <c r="A75" s="48" t="n"/>
      <c r="B75" s="48" t="n"/>
      <c r="C75" s="47" t="n"/>
      <c r="D75" s="48" t="n"/>
      <c r="E75" s="48" t="n"/>
      <c r="F75" s="48" t="n"/>
      <c r="G75" s="47" t="n"/>
      <c r="H75" s="50" t="n"/>
      <c r="I75" s="50" t="n"/>
      <c r="J75" s="50" t="n"/>
      <c r="K75" s="50" t="n"/>
      <c r="L75" s="49" t="n"/>
      <c r="M75" s="49" t="n"/>
      <c r="N75" s="49" t="n"/>
      <c r="O75" s="49" t="n"/>
      <c r="P75" s="50" t="n"/>
      <c r="Q75" s="49" t="n"/>
      <c r="R75" s="56">
        <f>IF(Q75="","",IFERROR(VLOOKUP(Q75,Lookups!$A$2:$B$8,2,FALSE),""))</f>
        <v/>
      </c>
      <c r="S75" s="53">
        <f>IF(B75="","",B75&amp;"|"&amp;TEXT(C75,"00"))</f>
        <v/>
      </c>
      <c r="T75" s="53">
        <f>IF(B75="","",B75&amp;"|"&amp;TEXT(C75-1,"00"))</f>
        <v/>
      </c>
      <c r="U75" s="53">
        <f>IFERROR(INDEX($Q:$Q,MATCH(T75,$S:$S,0)),"")</f>
        <v/>
      </c>
      <c r="V75" s="56">
        <f>IFERROR(INDEX($R:$R,MATCH(T75,$S:$S,0)),"")</f>
        <v/>
      </c>
      <c r="W75" s="56">
        <f>IF(U75="","",IF(Q75&lt;&gt;U75,1,0))</f>
        <v/>
      </c>
      <c r="X75" s="56">
        <f>IF(V75="","",IF(R75&lt;V75,1,0))</f>
        <v/>
      </c>
      <c r="Y75" s="56">
        <f>IF(V75="","",IF(R75&gt;V75,1,0))</f>
        <v/>
      </c>
      <c r="Z75" s="56">
        <f>IF(Q75="Pass",1,0)</f>
        <v/>
      </c>
      <c r="AA75" s="50" t="n"/>
      <c r="AB75" s="50" t="n"/>
      <c r="AC75" s="49" t="n"/>
      <c r="AD75" s="50" t="n"/>
      <c r="AE75" s="49" t="n"/>
    </row>
    <row r="76" ht="15.75" customHeight="1" s="40">
      <c r="A76" s="48" t="n"/>
      <c r="B76" s="48" t="n"/>
      <c r="C76" s="47" t="n"/>
      <c r="D76" s="48" t="n"/>
      <c r="E76" s="48" t="n"/>
      <c r="F76" s="48" t="n"/>
      <c r="G76" s="47" t="n"/>
      <c r="H76" s="50" t="n"/>
      <c r="I76" s="50" t="n"/>
      <c r="J76" s="50" t="n"/>
      <c r="K76" s="50" t="n"/>
      <c r="L76" s="49" t="n"/>
      <c r="M76" s="49" t="n"/>
      <c r="N76" s="49" t="n"/>
      <c r="O76" s="49" t="n"/>
      <c r="P76" s="50" t="n"/>
      <c r="Q76" s="49" t="n"/>
      <c r="R76" s="56">
        <f>IF(Q76="","",IFERROR(VLOOKUP(Q76,Lookups!$A$2:$B$8,2,FALSE),""))</f>
        <v/>
      </c>
      <c r="S76" s="53">
        <f>IF(B76="","",B76&amp;"|"&amp;TEXT(C76,"00"))</f>
        <v/>
      </c>
      <c r="T76" s="53">
        <f>IF(B76="","",B76&amp;"|"&amp;TEXT(C76-1,"00"))</f>
        <v/>
      </c>
      <c r="U76" s="53">
        <f>IFERROR(INDEX($Q:$Q,MATCH(T76,$S:$S,0)),"")</f>
        <v/>
      </c>
      <c r="V76" s="56">
        <f>IFERROR(INDEX($R:$R,MATCH(T76,$S:$S,0)),"")</f>
        <v/>
      </c>
      <c r="W76" s="56">
        <f>IF(U76="","",IF(Q76&lt;&gt;U76,1,0))</f>
        <v/>
      </c>
      <c r="X76" s="56">
        <f>IF(V76="","",IF(R76&lt;V76,1,0))</f>
        <v/>
      </c>
      <c r="Y76" s="56">
        <f>IF(V76="","",IF(R76&gt;V76,1,0))</f>
        <v/>
      </c>
      <c r="Z76" s="56">
        <f>IF(Q76="Pass",1,0)</f>
        <v/>
      </c>
      <c r="AA76" s="50" t="n"/>
      <c r="AB76" s="50" t="n"/>
      <c r="AC76" s="49" t="n"/>
      <c r="AD76" s="50" t="n"/>
      <c r="AE76" s="49" t="n"/>
    </row>
    <row r="77" ht="15.75" customHeight="1" s="40">
      <c r="A77" s="48" t="n"/>
      <c r="B77" s="48" t="n"/>
      <c r="C77" s="47" t="n"/>
      <c r="D77" s="48" t="n"/>
      <c r="E77" s="48" t="n"/>
      <c r="F77" s="48" t="n"/>
      <c r="G77" s="47" t="n"/>
      <c r="H77" s="50" t="n"/>
      <c r="I77" s="50" t="n"/>
      <c r="J77" s="50" t="n"/>
      <c r="K77" s="50" t="n"/>
      <c r="L77" s="49" t="n"/>
      <c r="M77" s="49" t="n"/>
      <c r="N77" s="49" t="n"/>
      <c r="O77" s="49" t="n"/>
      <c r="P77" s="50" t="n"/>
      <c r="Q77" s="49" t="n"/>
      <c r="R77" s="56">
        <f>IF(Q77="","",IFERROR(VLOOKUP(Q77,Lookups!$A$2:$B$8,2,FALSE),""))</f>
        <v/>
      </c>
      <c r="S77" s="53">
        <f>IF(B77="","",B77&amp;"|"&amp;TEXT(C77,"00"))</f>
        <v/>
      </c>
      <c r="T77" s="53">
        <f>IF(B77="","",B77&amp;"|"&amp;TEXT(C77-1,"00"))</f>
        <v/>
      </c>
      <c r="U77" s="53">
        <f>IFERROR(INDEX($Q:$Q,MATCH(T77,$S:$S,0)),"")</f>
        <v/>
      </c>
      <c r="V77" s="56">
        <f>IFERROR(INDEX($R:$R,MATCH(T77,$S:$S,0)),"")</f>
        <v/>
      </c>
      <c r="W77" s="56">
        <f>IF(U77="","",IF(Q77&lt;&gt;U77,1,0))</f>
        <v/>
      </c>
      <c r="X77" s="56">
        <f>IF(V77="","",IF(R77&lt;V77,1,0))</f>
        <v/>
      </c>
      <c r="Y77" s="56">
        <f>IF(V77="","",IF(R77&gt;V77,1,0))</f>
        <v/>
      </c>
      <c r="Z77" s="56">
        <f>IF(Q77="Pass",1,0)</f>
        <v/>
      </c>
      <c r="AA77" s="50" t="n"/>
      <c r="AB77" s="50" t="n"/>
      <c r="AC77" s="49" t="n"/>
      <c r="AD77" s="50" t="n"/>
      <c r="AE77" s="49" t="n"/>
    </row>
    <row r="78" ht="15.75" customHeight="1" s="40">
      <c r="A78" s="48" t="n"/>
      <c r="B78" s="48" t="n"/>
      <c r="C78" s="47" t="n"/>
      <c r="D78" s="48" t="n"/>
      <c r="E78" s="48" t="n"/>
      <c r="F78" s="48" t="n"/>
      <c r="G78" s="47" t="n"/>
      <c r="H78" s="50" t="n"/>
      <c r="I78" s="50" t="n"/>
      <c r="J78" s="50" t="n"/>
      <c r="K78" s="50" t="n"/>
      <c r="L78" s="49" t="n"/>
      <c r="M78" s="49" t="n"/>
      <c r="N78" s="49" t="n"/>
      <c r="O78" s="49" t="n"/>
      <c r="P78" s="50" t="n"/>
      <c r="Q78" s="49" t="n"/>
      <c r="R78" s="56">
        <f>IF(Q78="","",IFERROR(VLOOKUP(Q78,Lookups!$A$2:$B$8,2,FALSE),""))</f>
        <v/>
      </c>
      <c r="S78" s="53">
        <f>IF(B78="","",B78&amp;"|"&amp;TEXT(C78,"00"))</f>
        <v/>
      </c>
      <c r="T78" s="53">
        <f>IF(B78="","",B78&amp;"|"&amp;TEXT(C78-1,"00"))</f>
        <v/>
      </c>
      <c r="U78" s="53">
        <f>IFERROR(INDEX($Q:$Q,MATCH(T78,$S:$S,0)),"")</f>
        <v/>
      </c>
      <c r="V78" s="56">
        <f>IFERROR(INDEX($R:$R,MATCH(T78,$S:$S,0)),"")</f>
        <v/>
      </c>
      <c r="W78" s="56">
        <f>IF(U78="","",IF(Q78&lt;&gt;U78,1,0))</f>
        <v/>
      </c>
      <c r="X78" s="56">
        <f>IF(V78="","",IF(R78&lt;V78,1,0))</f>
        <v/>
      </c>
      <c r="Y78" s="56">
        <f>IF(V78="","",IF(R78&gt;V78,1,0))</f>
        <v/>
      </c>
      <c r="Z78" s="56">
        <f>IF(Q78="Pass",1,0)</f>
        <v/>
      </c>
      <c r="AA78" s="50" t="n"/>
      <c r="AB78" s="50" t="n"/>
      <c r="AC78" s="49" t="n"/>
      <c r="AD78" s="50" t="n"/>
      <c r="AE78" s="49" t="n"/>
    </row>
    <row r="79" ht="15.75" customHeight="1" s="40">
      <c r="A79" s="48" t="n"/>
      <c r="B79" s="48" t="n"/>
      <c r="C79" s="47" t="n"/>
      <c r="D79" s="48" t="n"/>
      <c r="E79" s="48" t="n"/>
      <c r="F79" s="48" t="n"/>
      <c r="G79" s="47" t="n"/>
      <c r="H79" s="50" t="n"/>
      <c r="I79" s="50" t="n"/>
      <c r="J79" s="50" t="n"/>
      <c r="K79" s="50" t="n"/>
      <c r="L79" s="49" t="n"/>
      <c r="M79" s="49" t="n"/>
      <c r="N79" s="49" t="n"/>
      <c r="O79" s="49" t="n"/>
      <c r="P79" s="50" t="n"/>
      <c r="Q79" s="49" t="n"/>
      <c r="R79" s="56">
        <f>IF(Q79="","",IFERROR(VLOOKUP(Q79,Lookups!$A$2:$B$8,2,FALSE),""))</f>
        <v/>
      </c>
      <c r="S79" s="53">
        <f>IF(B79="","",B79&amp;"|"&amp;TEXT(C79,"00"))</f>
        <v/>
      </c>
      <c r="T79" s="53">
        <f>IF(B79="","",B79&amp;"|"&amp;TEXT(C79-1,"00"))</f>
        <v/>
      </c>
      <c r="U79" s="53">
        <f>IFERROR(INDEX($Q:$Q,MATCH(T79,$S:$S,0)),"")</f>
        <v/>
      </c>
      <c r="V79" s="56">
        <f>IFERROR(INDEX($R:$R,MATCH(T79,$S:$S,0)),"")</f>
        <v/>
      </c>
      <c r="W79" s="56">
        <f>IF(U79="","",IF(Q79&lt;&gt;U79,1,0))</f>
        <v/>
      </c>
      <c r="X79" s="56">
        <f>IF(V79="","",IF(R79&lt;V79,1,0))</f>
        <v/>
      </c>
      <c r="Y79" s="56">
        <f>IF(V79="","",IF(R79&gt;V79,1,0))</f>
        <v/>
      </c>
      <c r="Z79" s="56">
        <f>IF(Q79="Pass",1,0)</f>
        <v/>
      </c>
      <c r="AA79" s="50" t="n"/>
      <c r="AB79" s="50" t="n"/>
      <c r="AC79" s="49" t="n"/>
      <c r="AD79" s="50" t="n"/>
      <c r="AE79" s="49" t="n"/>
    </row>
    <row r="80" ht="15.75" customHeight="1" s="40">
      <c r="A80" s="48" t="n"/>
      <c r="B80" s="48" t="n"/>
      <c r="C80" s="47" t="n"/>
      <c r="D80" s="48" t="n"/>
      <c r="E80" s="48" t="n"/>
      <c r="F80" s="48" t="n"/>
      <c r="G80" s="47" t="n"/>
      <c r="H80" s="50" t="n"/>
      <c r="I80" s="50" t="n"/>
      <c r="J80" s="50" t="n"/>
      <c r="K80" s="50" t="n"/>
      <c r="L80" s="49" t="n"/>
      <c r="M80" s="49" t="n"/>
      <c r="N80" s="49" t="n"/>
      <c r="O80" s="49" t="n"/>
      <c r="P80" s="50" t="n"/>
      <c r="Q80" s="49" t="n"/>
      <c r="R80" s="56">
        <f>IF(Q80="","",IFERROR(VLOOKUP(Q80,Lookups!$A$2:$B$8,2,FALSE),""))</f>
        <v/>
      </c>
      <c r="S80" s="53">
        <f>IF(B80="","",B80&amp;"|"&amp;TEXT(C80,"00"))</f>
        <v/>
      </c>
      <c r="T80" s="53">
        <f>IF(B80="","",B80&amp;"|"&amp;TEXT(C80-1,"00"))</f>
        <v/>
      </c>
      <c r="U80" s="53">
        <f>IFERROR(INDEX($Q:$Q,MATCH(T80,$S:$S,0)),"")</f>
        <v/>
      </c>
      <c r="V80" s="56">
        <f>IFERROR(INDEX($R:$R,MATCH(T80,$S:$S,0)),"")</f>
        <v/>
      </c>
      <c r="W80" s="56">
        <f>IF(U80="","",IF(Q80&lt;&gt;U80,1,0))</f>
        <v/>
      </c>
      <c r="X80" s="56">
        <f>IF(V80="","",IF(R80&lt;V80,1,0))</f>
        <v/>
      </c>
      <c r="Y80" s="56">
        <f>IF(V80="","",IF(R80&gt;V80,1,0))</f>
        <v/>
      </c>
      <c r="Z80" s="56">
        <f>IF(Q80="Pass",1,0)</f>
        <v/>
      </c>
      <c r="AA80" s="50" t="n"/>
      <c r="AB80" s="50" t="n"/>
      <c r="AC80" s="49" t="n"/>
      <c r="AD80" s="50" t="n"/>
      <c r="AE80" s="49" t="n"/>
    </row>
    <row r="81" ht="15.75" customHeight="1" s="40">
      <c r="A81" s="48" t="n"/>
      <c r="B81" s="48" t="n"/>
      <c r="C81" s="47" t="n"/>
      <c r="D81" s="48" t="n"/>
      <c r="E81" s="48" t="n"/>
      <c r="F81" s="48" t="n"/>
      <c r="G81" s="47" t="n"/>
      <c r="H81" s="50" t="n"/>
      <c r="I81" s="50" t="n"/>
      <c r="J81" s="50" t="n"/>
      <c r="K81" s="50" t="n"/>
      <c r="L81" s="49" t="n"/>
      <c r="M81" s="49" t="n"/>
      <c r="N81" s="49" t="n"/>
      <c r="O81" s="49" t="n"/>
      <c r="P81" s="50" t="n"/>
      <c r="Q81" s="49" t="n"/>
      <c r="R81" s="56">
        <f>IF(Q81="","",IFERROR(VLOOKUP(Q81,Lookups!$A$2:$B$8,2,FALSE),""))</f>
        <v/>
      </c>
      <c r="S81" s="53">
        <f>IF(B81="","",B81&amp;"|"&amp;TEXT(C81,"00"))</f>
        <v/>
      </c>
      <c r="T81" s="53">
        <f>IF(B81="","",B81&amp;"|"&amp;TEXT(C81-1,"00"))</f>
        <v/>
      </c>
      <c r="U81" s="53">
        <f>IFERROR(INDEX($Q:$Q,MATCH(T81,$S:$S,0)),"")</f>
        <v/>
      </c>
      <c r="V81" s="56">
        <f>IFERROR(INDEX($R:$R,MATCH(T81,$S:$S,0)),"")</f>
        <v/>
      </c>
      <c r="W81" s="56">
        <f>IF(U81="","",IF(Q81&lt;&gt;U81,1,0))</f>
        <v/>
      </c>
      <c r="X81" s="56">
        <f>IF(V81="","",IF(R81&lt;V81,1,0))</f>
        <v/>
      </c>
      <c r="Y81" s="56">
        <f>IF(V81="","",IF(R81&gt;V81,1,0))</f>
        <v/>
      </c>
      <c r="Z81" s="56">
        <f>IF(Q81="Pass",1,0)</f>
        <v/>
      </c>
      <c r="AA81" s="50" t="n"/>
      <c r="AB81" s="50" t="n"/>
      <c r="AC81" s="49" t="n"/>
      <c r="AD81" s="50" t="n"/>
      <c r="AE81" s="49" t="n"/>
    </row>
    <row r="82" ht="15.75" customHeight="1" s="40">
      <c r="A82" s="48" t="n"/>
      <c r="B82" s="48" t="n"/>
      <c r="C82" s="47" t="n"/>
      <c r="D82" s="48" t="n"/>
      <c r="E82" s="48" t="n"/>
      <c r="F82" s="48" t="n"/>
      <c r="G82" s="47" t="n"/>
      <c r="H82" s="50" t="n"/>
      <c r="I82" s="50" t="n"/>
      <c r="J82" s="50" t="n"/>
      <c r="K82" s="50" t="n"/>
      <c r="L82" s="49" t="n"/>
      <c r="M82" s="49" t="n"/>
      <c r="N82" s="49" t="n"/>
      <c r="O82" s="49" t="n"/>
      <c r="P82" s="50" t="n"/>
      <c r="Q82" s="49" t="n"/>
      <c r="R82" s="56">
        <f>IF(Q82="","",IFERROR(VLOOKUP(Q82,Lookups!$A$2:$B$8,2,FALSE),""))</f>
        <v/>
      </c>
      <c r="S82" s="53">
        <f>IF(B82="","",B82&amp;"|"&amp;TEXT(C82,"00"))</f>
        <v/>
      </c>
      <c r="T82" s="53">
        <f>IF(B82="","",B82&amp;"|"&amp;TEXT(C82-1,"00"))</f>
        <v/>
      </c>
      <c r="U82" s="53">
        <f>IFERROR(INDEX($Q:$Q,MATCH(T82,$S:$S,0)),"")</f>
        <v/>
      </c>
      <c r="V82" s="56">
        <f>IFERROR(INDEX($R:$R,MATCH(T82,$S:$S,0)),"")</f>
        <v/>
      </c>
      <c r="W82" s="56">
        <f>IF(U82="","",IF(Q82&lt;&gt;U82,1,0))</f>
        <v/>
      </c>
      <c r="X82" s="56">
        <f>IF(V82="","",IF(R82&lt;V82,1,0))</f>
        <v/>
      </c>
      <c r="Y82" s="56">
        <f>IF(V82="","",IF(R82&gt;V82,1,0))</f>
        <v/>
      </c>
      <c r="Z82" s="56">
        <f>IF(Q82="Pass",1,0)</f>
        <v/>
      </c>
      <c r="AA82" s="50" t="n"/>
      <c r="AB82" s="50" t="n"/>
      <c r="AC82" s="49" t="n"/>
      <c r="AD82" s="50" t="n"/>
      <c r="AE82" s="49" t="n"/>
    </row>
    <row r="83" ht="15.75" customHeight="1" s="40">
      <c r="A83" s="48" t="n"/>
      <c r="B83" s="48" t="n"/>
      <c r="C83" s="47" t="n"/>
      <c r="D83" s="48" t="n"/>
      <c r="E83" s="48" t="n"/>
      <c r="F83" s="48" t="n"/>
      <c r="G83" s="47" t="n"/>
      <c r="H83" s="50" t="n"/>
      <c r="I83" s="50" t="n"/>
      <c r="J83" s="50" t="n"/>
      <c r="K83" s="50" t="n"/>
      <c r="L83" s="49" t="n"/>
      <c r="M83" s="49" t="n"/>
      <c r="N83" s="49" t="n"/>
      <c r="O83" s="49" t="n"/>
      <c r="P83" s="50" t="n"/>
      <c r="Q83" s="49" t="n"/>
      <c r="R83" s="56">
        <f>IF(Q83="","",IFERROR(VLOOKUP(Q83,Lookups!$A$2:$B$8,2,FALSE),""))</f>
        <v/>
      </c>
      <c r="S83" s="53">
        <f>IF(B83="","",B83&amp;"|"&amp;TEXT(C83,"00"))</f>
        <v/>
      </c>
      <c r="T83" s="53">
        <f>IF(B83="","",B83&amp;"|"&amp;TEXT(C83-1,"00"))</f>
        <v/>
      </c>
      <c r="U83" s="53">
        <f>IFERROR(INDEX($Q:$Q,MATCH(T83,$S:$S,0)),"")</f>
        <v/>
      </c>
      <c r="V83" s="56">
        <f>IFERROR(INDEX($R:$R,MATCH(T83,$S:$S,0)),"")</f>
        <v/>
      </c>
      <c r="W83" s="56">
        <f>IF(U83="","",IF(Q83&lt;&gt;U83,1,0))</f>
        <v/>
      </c>
      <c r="X83" s="56">
        <f>IF(V83="","",IF(R83&lt;V83,1,0))</f>
        <v/>
      </c>
      <c r="Y83" s="56">
        <f>IF(V83="","",IF(R83&gt;V83,1,0))</f>
        <v/>
      </c>
      <c r="Z83" s="56">
        <f>IF(Q83="Pass",1,0)</f>
        <v/>
      </c>
      <c r="AA83" s="50" t="n"/>
      <c r="AB83" s="50" t="n"/>
      <c r="AC83" s="49" t="n"/>
      <c r="AD83" s="50" t="n"/>
      <c r="AE83" s="49" t="n"/>
    </row>
    <row r="84" ht="15.75" customHeight="1" s="40">
      <c r="A84" s="48" t="n"/>
      <c r="B84" s="48" t="n"/>
      <c r="C84" s="47" t="n"/>
      <c r="D84" s="48" t="n"/>
      <c r="E84" s="48" t="n"/>
      <c r="F84" s="48" t="n"/>
      <c r="G84" s="47" t="n"/>
      <c r="H84" s="50" t="n"/>
      <c r="I84" s="50" t="n"/>
      <c r="J84" s="50" t="n"/>
      <c r="K84" s="50" t="n"/>
      <c r="L84" s="49" t="n"/>
      <c r="M84" s="49" t="n"/>
      <c r="N84" s="49" t="n"/>
      <c r="O84" s="49" t="n"/>
      <c r="P84" s="50" t="n"/>
      <c r="Q84" s="49" t="n"/>
      <c r="R84" s="56">
        <f>IF(Q84="","",IFERROR(VLOOKUP(Q84,Lookups!$A$2:$B$8,2,FALSE),""))</f>
        <v/>
      </c>
      <c r="S84" s="53">
        <f>IF(B84="","",B84&amp;"|"&amp;TEXT(C84,"00"))</f>
        <v/>
      </c>
      <c r="T84" s="53">
        <f>IF(B84="","",B84&amp;"|"&amp;TEXT(C84-1,"00"))</f>
        <v/>
      </c>
      <c r="U84" s="53">
        <f>IFERROR(INDEX($Q:$Q,MATCH(T84,$S:$S,0)),"")</f>
        <v/>
      </c>
      <c r="V84" s="56">
        <f>IFERROR(INDEX($R:$R,MATCH(T84,$S:$S,0)),"")</f>
        <v/>
      </c>
      <c r="W84" s="56">
        <f>IF(U84="","",IF(Q84&lt;&gt;U84,1,0))</f>
        <v/>
      </c>
      <c r="X84" s="56">
        <f>IF(V84="","",IF(R84&lt;V84,1,0))</f>
        <v/>
      </c>
      <c r="Y84" s="56">
        <f>IF(V84="","",IF(R84&gt;V84,1,0))</f>
        <v/>
      </c>
      <c r="Z84" s="56">
        <f>IF(Q84="Pass",1,0)</f>
        <v/>
      </c>
      <c r="AA84" s="50" t="n"/>
      <c r="AB84" s="50" t="n"/>
      <c r="AC84" s="49" t="n"/>
      <c r="AD84" s="50" t="n"/>
      <c r="AE84" s="49" t="n"/>
    </row>
    <row r="85" ht="15.75" customHeight="1" s="40">
      <c r="A85" s="48" t="n"/>
      <c r="B85" s="48" t="n"/>
      <c r="C85" s="47" t="n"/>
      <c r="D85" s="48" t="n"/>
      <c r="E85" s="48" t="n"/>
      <c r="F85" s="48" t="n"/>
      <c r="G85" s="47" t="n"/>
      <c r="H85" s="50" t="n"/>
      <c r="I85" s="50" t="n"/>
      <c r="J85" s="50" t="n"/>
      <c r="K85" s="50" t="n"/>
      <c r="L85" s="49" t="n"/>
      <c r="M85" s="49" t="n"/>
      <c r="N85" s="49" t="n"/>
      <c r="O85" s="49" t="n"/>
      <c r="P85" s="50" t="n"/>
      <c r="Q85" s="49" t="n"/>
      <c r="R85" s="56">
        <f>IF(Q85="","",IFERROR(VLOOKUP(Q85,Lookups!$A$2:$B$8,2,FALSE),""))</f>
        <v/>
      </c>
      <c r="S85" s="53">
        <f>IF(B85="","",B85&amp;"|"&amp;TEXT(C85,"00"))</f>
        <v/>
      </c>
      <c r="T85" s="53">
        <f>IF(B85="","",B85&amp;"|"&amp;TEXT(C85-1,"00"))</f>
        <v/>
      </c>
      <c r="U85" s="53">
        <f>IFERROR(INDEX($Q:$Q,MATCH(T85,$S:$S,0)),"")</f>
        <v/>
      </c>
      <c r="V85" s="56">
        <f>IFERROR(INDEX($R:$R,MATCH(T85,$S:$S,0)),"")</f>
        <v/>
      </c>
      <c r="W85" s="56">
        <f>IF(U85="","",IF(Q85&lt;&gt;U85,1,0))</f>
        <v/>
      </c>
      <c r="X85" s="56">
        <f>IF(V85="","",IF(R85&lt;V85,1,0))</f>
        <v/>
      </c>
      <c r="Y85" s="56">
        <f>IF(V85="","",IF(R85&gt;V85,1,0))</f>
        <v/>
      </c>
      <c r="Z85" s="56">
        <f>IF(Q85="Pass",1,0)</f>
        <v/>
      </c>
      <c r="AA85" s="50" t="n"/>
      <c r="AB85" s="50" t="n"/>
      <c r="AC85" s="49" t="n"/>
      <c r="AD85" s="50" t="n"/>
      <c r="AE85" s="49" t="n"/>
    </row>
    <row r="86" ht="15.75" customHeight="1" s="40">
      <c r="A86" s="48" t="n"/>
      <c r="B86" s="48" t="n"/>
      <c r="C86" s="47" t="n"/>
      <c r="D86" s="48" t="n"/>
      <c r="E86" s="48" t="n"/>
      <c r="F86" s="48" t="n"/>
      <c r="G86" s="47" t="n"/>
      <c r="H86" s="50" t="n"/>
      <c r="I86" s="50" t="n"/>
      <c r="J86" s="50" t="n"/>
      <c r="K86" s="50" t="n"/>
      <c r="L86" s="49" t="n"/>
      <c r="M86" s="49" t="n"/>
      <c r="N86" s="49" t="n"/>
      <c r="O86" s="49" t="n"/>
      <c r="P86" s="50" t="n"/>
      <c r="Q86" s="49" t="n"/>
      <c r="R86" s="56">
        <f>IF(Q86="","",IFERROR(VLOOKUP(Q86,Lookups!$A$2:$B$8,2,FALSE),""))</f>
        <v/>
      </c>
      <c r="S86" s="53">
        <f>IF(B86="","",B86&amp;"|"&amp;TEXT(C86,"00"))</f>
        <v/>
      </c>
      <c r="T86" s="53">
        <f>IF(B86="","",B86&amp;"|"&amp;TEXT(C86-1,"00"))</f>
        <v/>
      </c>
      <c r="U86" s="53">
        <f>IFERROR(INDEX($Q:$Q,MATCH(T86,$S:$S,0)),"")</f>
        <v/>
      </c>
      <c r="V86" s="56">
        <f>IFERROR(INDEX($R:$R,MATCH(T86,$S:$S,0)),"")</f>
        <v/>
      </c>
      <c r="W86" s="56">
        <f>IF(U86="","",IF(Q86&lt;&gt;U86,1,0))</f>
        <v/>
      </c>
      <c r="X86" s="56">
        <f>IF(V86="","",IF(R86&lt;V86,1,0))</f>
        <v/>
      </c>
      <c r="Y86" s="56">
        <f>IF(V86="","",IF(R86&gt;V86,1,0))</f>
        <v/>
      </c>
      <c r="Z86" s="56">
        <f>IF(Q86="Pass",1,0)</f>
        <v/>
      </c>
      <c r="AA86" s="50" t="n"/>
      <c r="AB86" s="50" t="n"/>
      <c r="AC86" s="49" t="n"/>
      <c r="AD86" s="50" t="n"/>
      <c r="AE86" s="49" t="n"/>
    </row>
    <row r="87" ht="15.75" customHeight="1" s="40">
      <c r="A87" s="48" t="n"/>
      <c r="B87" s="48" t="n"/>
      <c r="C87" s="47" t="n"/>
      <c r="D87" s="48" t="n"/>
      <c r="E87" s="48" t="n"/>
      <c r="F87" s="48" t="n"/>
      <c r="G87" s="47" t="n"/>
      <c r="H87" s="50" t="n"/>
      <c r="I87" s="50" t="n"/>
      <c r="J87" s="50" t="n"/>
      <c r="K87" s="50" t="n"/>
      <c r="L87" s="49" t="n"/>
      <c r="M87" s="49" t="n"/>
      <c r="N87" s="49" t="n"/>
      <c r="O87" s="49" t="n"/>
      <c r="P87" s="50" t="n"/>
      <c r="Q87" s="49" t="n"/>
      <c r="R87" s="56">
        <f>IF(Q87="","",IFERROR(VLOOKUP(Q87,Lookups!$A$2:$B$8,2,FALSE),""))</f>
        <v/>
      </c>
      <c r="S87" s="53">
        <f>IF(B87="","",B87&amp;"|"&amp;TEXT(C87,"00"))</f>
        <v/>
      </c>
      <c r="T87" s="53">
        <f>IF(B87="","",B87&amp;"|"&amp;TEXT(C87-1,"00"))</f>
        <v/>
      </c>
      <c r="U87" s="53">
        <f>IFERROR(INDEX($Q:$Q,MATCH(T87,$S:$S,0)),"")</f>
        <v/>
      </c>
      <c r="V87" s="56">
        <f>IFERROR(INDEX($R:$R,MATCH(T87,$S:$S,0)),"")</f>
        <v/>
      </c>
      <c r="W87" s="56">
        <f>IF(U87="","",IF(Q87&lt;&gt;U87,1,0))</f>
        <v/>
      </c>
      <c r="X87" s="56">
        <f>IF(V87="","",IF(R87&lt;V87,1,0))</f>
        <v/>
      </c>
      <c r="Y87" s="56">
        <f>IF(V87="","",IF(R87&gt;V87,1,0))</f>
        <v/>
      </c>
      <c r="Z87" s="56">
        <f>IF(Q87="Pass",1,0)</f>
        <v/>
      </c>
      <c r="AA87" s="50" t="n"/>
      <c r="AB87" s="50" t="n"/>
      <c r="AC87" s="49" t="n"/>
      <c r="AD87" s="50" t="n"/>
      <c r="AE87" s="49" t="n"/>
    </row>
    <row r="88" ht="15.75" customHeight="1" s="40">
      <c r="A88" s="48" t="n"/>
      <c r="B88" s="48" t="n"/>
      <c r="C88" s="47" t="n"/>
      <c r="D88" s="48" t="n"/>
      <c r="E88" s="48" t="n"/>
      <c r="F88" s="48" t="n"/>
      <c r="G88" s="47" t="n"/>
      <c r="H88" s="50" t="n"/>
      <c r="I88" s="50" t="n"/>
      <c r="J88" s="50" t="n"/>
      <c r="K88" s="50" t="n"/>
      <c r="L88" s="49" t="n"/>
      <c r="M88" s="49" t="n"/>
      <c r="N88" s="49" t="n"/>
      <c r="O88" s="49" t="n"/>
      <c r="P88" s="50" t="n"/>
      <c r="Q88" s="49" t="n"/>
      <c r="R88" s="56">
        <f>IF(Q88="","",IFERROR(VLOOKUP(Q88,Lookups!$A$2:$B$8,2,FALSE),""))</f>
        <v/>
      </c>
      <c r="S88" s="53">
        <f>IF(B88="","",B88&amp;"|"&amp;TEXT(C88,"00"))</f>
        <v/>
      </c>
      <c r="T88" s="53">
        <f>IF(B88="","",B88&amp;"|"&amp;TEXT(C88-1,"00"))</f>
        <v/>
      </c>
      <c r="U88" s="53">
        <f>IFERROR(INDEX($Q:$Q,MATCH(T88,$S:$S,0)),"")</f>
        <v/>
      </c>
      <c r="V88" s="56">
        <f>IFERROR(INDEX($R:$R,MATCH(T88,$S:$S,0)),"")</f>
        <v/>
      </c>
      <c r="W88" s="56">
        <f>IF(U88="","",IF(Q88&lt;&gt;U88,1,0))</f>
        <v/>
      </c>
      <c r="X88" s="56">
        <f>IF(V88="","",IF(R88&lt;V88,1,0))</f>
        <v/>
      </c>
      <c r="Y88" s="56">
        <f>IF(V88="","",IF(R88&gt;V88,1,0))</f>
        <v/>
      </c>
      <c r="Z88" s="56">
        <f>IF(Q88="Pass",1,0)</f>
        <v/>
      </c>
      <c r="AA88" s="50" t="n"/>
      <c r="AB88" s="50" t="n"/>
      <c r="AC88" s="49" t="n"/>
      <c r="AD88" s="50" t="n"/>
      <c r="AE88" s="49" t="n"/>
    </row>
    <row r="89" ht="15.75" customHeight="1" s="40">
      <c r="A89" s="48" t="n"/>
      <c r="B89" s="48" t="n"/>
      <c r="C89" s="47" t="n"/>
      <c r="D89" s="48" t="n"/>
      <c r="E89" s="48" t="n"/>
      <c r="F89" s="48" t="n"/>
      <c r="G89" s="47" t="n"/>
      <c r="H89" s="50" t="n"/>
      <c r="I89" s="50" t="n"/>
      <c r="J89" s="50" t="n"/>
      <c r="K89" s="50" t="n"/>
      <c r="L89" s="49" t="n"/>
      <c r="M89" s="49" t="n"/>
      <c r="N89" s="49" t="n"/>
      <c r="O89" s="49" t="n"/>
      <c r="P89" s="50" t="n"/>
      <c r="Q89" s="49" t="n"/>
      <c r="R89" s="56">
        <f>IF(Q89="","",IFERROR(VLOOKUP(Q89,Lookups!$A$2:$B$8,2,FALSE),""))</f>
        <v/>
      </c>
      <c r="S89" s="53">
        <f>IF(B89="","",B89&amp;"|"&amp;TEXT(C89,"00"))</f>
        <v/>
      </c>
      <c r="T89" s="53">
        <f>IF(B89="","",B89&amp;"|"&amp;TEXT(C89-1,"00"))</f>
        <v/>
      </c>
      <c r="U89" s="53">
        <f>IFERROR(INDEX($Q:$Q,MATCH(T89,$S:$S,0)),"")</f>
        <v/>
      </c>
      <c r="V89" s="56">
        <f>IFERROR(INDEX($R:$R,MATCH(T89,$S:$S,0)),"")</f>
        <v/>
      </c>
      <c r="W89" s="56">
        <f>IF(U89="","",IF(Q89&lt;&gt;U89,1,0))</f>
        <v/>
      </c>
      <c r="X89" s="56">
        <f>IF(V89="","",IF(R89&lt;V89,1,0))</f>
        <v/>
      </c>
      <c r="Y89" s="56">
        <f>IF(V89="","",IF(R89&gt;V89,1,0))</f>
        <v/>
      </c>
      <c r="Z89" s="56">
        <f>IF(Q89="Pass",1,0)</f>
        <v/>
      </c>
      <c r="AA89" s="50" t="n"/>
      <c r="AB89" s="50" t="n"/>
      <c r="AC89" s="49" t="n"/>
      <c r="AD89" s="50" t="n"/>
      <c r="AE89" s="49" t="n"/>
    </row>
    <row r="90" ht="15.75" customHeight="1" s="40">
      <c r="A90" s="48" t="n"/>
      <c r="B90" s="48" t="n"/>
      <c r="C90" s="47" t="n"/>
      <c r="D90" s="48" t="n"/>
      <c r="E90" s="48" t="n"/>
      <c r="F90" s="48" t="n"/>
      <c r="G90" s="47" t="n"/>
      <c r="H90" s="50" t="n"/>
      <c r="I90" s="50" t="n"/>
      <c r="J90" s="50" t="n"/>
      <c r="K90" s="50" t="n"/>
      <c r="L90" s="49" t="n"/>
      <c r="M90" s="49" t="n"/>
      <c r="N90" s="49" t="n"/>
      <c r="O90" s="49" t="n"/>
      <c r="P90" s="50" t="n"/>
      <c r="Q90" s="49" t="n"/>
      <c r="R90" s="56">
        <f>IF(Q90="","",IFERROR(VLOOKUP(Q90,Lookups!$A$2:$B$8,2,FALSE),""))</f>
        <v/>
      </c>
      <c r="S90" s="53">
        <f>IF(B90="","",B90&amp;"|"&amp;TEXT(C90,"00"))</f>
        <v/>
      </c>
      <c r="T90" s="53">
        <f>IF(B90="","",B90&amp;"|"&amp;TEXT(C90-1,"00"))</f>
        <v/>
      </c>
      <c r="U90" s="53">
        <f>IFERROR(INDEX($Q:$Q,MATCH(T90,$S:$S,0)),"")</f>
        <v/>
      </c>
      <c r="V90" s="56">
        <f>IFERROR(INDEX($R:$R,MATCH(T90,$S:$S,0)),"")</f>
        <v/>
      </c>
      <c r="W90" s="56">
        <f>IF(U90="","",IF(Q90&lt;&gt;U90,1,0))</f>
        <v/>
      </c>
      <c r="X90" s="56">
        <f>IF(V90="","",IF(R90&lt;V90,1,0))</f>
        <v/>
      </c>
      <c r="Y90" s="56">
        <f>IF(V90="","",IF(R90&gt;V90,1,0))</f>
        <v/>
      </c>
      <c r="Z90" s="56">
        <f>IF(Q90="Pass",1,0)</f>
        <v/>
      </c>
      <c r="AA90" s="50" t="n"/>
      <c r="AB90" s="50" t="n"/>
      <c r="AC90" s="49" t="n"/>
      <c r="AD90" s="50" t="n"/>
      <c r="AE90" s="49" t="n"/>
    </row>
    <row r="91" ht="15.75" customHeight="1" s="40">
      <c r="A91" s="48" t="n"/>
      <c r="B91" s="48" t="n"/>
      <c r="C91" s="47" t="n"/>
      <c r="D91" s="48" t="n"/>
      <c r="E91" s="48" t="n"/>
      <c r="F91" s="48" t="n"/>
      <c r="G91" s="47" t="n"/>
      <c r="H91" s="50" t="n"/>
      <c r="I91" s="50" t="n"/>
      <c r="J91" s="50" t="n"/>
      <c r="K91" s="50" t="n"/>
      <c r="L91" s="49" t="n"/>
      <c r="M91" s="49" t="n"/>
      <c r="N91" s="49" t="n"/>
      <c r="O91" s="49" t="n"/>
      <c r="P91" s="50" t="n"/>
      <c r="Q91" s="49" t="n"/>
      <c r="R91" s="56">
        <f>IF(Q91="","",IFERROR(VLOOKUP(Q91,Lookups!$A$2:$B$8,2,FALSE),""))</f>
        <v/>
      </c>
      <c r="S91" s="53">
        <f>IF(B91="","",B91&amp;"|"&amp;TEXT(C91,"00"))</f>
        <v/>
      </c>
      <c r="T91" s="53">
        <f>IF(B91="","",B91&amp;"|"&amp;TEXT(C91-1,"00"))</f>
        <v/>
      </c>
      <c r="U91" s="53">
        <f>IFERROR(INDEX($Q:$Q,MATCH(T91,$S:$S,0)),"")</f>
        <v/>
      </c>
      <c r="V91" s="56">
        <f>IFERROR(INDEX($R:$R,MATCH(T91,$S:$S,0)),"")</f>
        <v/>
      </c>
      <c r="W91" s="56">
        <f>IF(U91="","",IF(Q91&lt;&gt;U91,1,0))</f>
        <v/>
      </c>
      <c r="X91" s="56">
        <f>IF(V91="","",IF(R91&lt;V91,1,0))</f>
        <v/>
      </c>
      <c r="Y91" s="56">
        <f>IF(V91="","",IF(R91&gt;V91,1,0))</f>
        <v/>
      </c>
      <c r="Z91" s="56">
        <f>IF(Q91="Pass",1,0)</f>
        <v/>
      </c>
      <c r="AA91" s="50" t="n"/>
      <c r="AB91" s="50" t="n"/>
      <c r="AC91" s="49" t="n"/>
      <c r="AD91" s="50" t="n"/>
      <c r="AE91" s="49" t="n"/>
    </row>
    <row r="92" ht="15.75" customHeight="1" s="40">
      <c r="A92" s="48" t="n"/>
      <c r="B92" s="48" t="n"/>
      <c r="C92" s="47" t="n"/>
      <c r="D92" s="48" t="n"/>
      <c r="E92" s="48" t="n"/>
      <c r="F92" s="48" t="n"/>
      <c r="G92" s="47" t="n"/>
      <c r="H92" s="50" t="n"/>
      <c r="I92" s="50" t="n"/>
      <c r="J92" s="50" t="n"/>
      <c r="K92" s="50" t="n"/>
      <c r="L92" s="49" t="n"/>
      <c r="M92" s="49" t="n"/>
      <c r="N92" s="49" t="n"/>
      <c r="O92" s="49" t="n"/>
      <c r="P92" s="50" t="n"/>
      <c r="Q92" s="49" t="n"/>
      <c r="R92" s="56">
        <f>IF(Q92="","",IFERROR(VLOOKUP(Q92,Lookups!$A$2:$B$8,2,FALSE),""))</f>
        <v/>
      </c>
      <c r="S92" s="53">
        <f>IF(B92="","",B92&amp;"|"&amp;TEXT(C92,"00"))</f>
        <v/>
      </c>
      <c r="T92" s="53">
        <f>IF(B92="","",B92&amp;"|"&amp;TEXT(C92-1,"00"))</f>
        <v/>
      </c>
      <c r="U92" s="53">
        <f>IFERROR(INDEX($Q:$Q,MATCH(T92,$S:$S,0)),"")</f>
        <v/>
      </c>
      <c r="V92" s="56">
        <f>IFERROR(INDEX($R:$R,MATCH(T92,$S:$S,0)),"")</f>
        <v/>
      </c>
      <c r="W92" s="56">
        <f>IF(U92="","",IF(Q92&lt;&gt;U92,1,0))</f>
        <v/>
      </c>
      <c r="X92" s="56">
        <f>IF(V92="","",IF(R92&lt;V92,1,0))</f>
        <v/>
      </c>
      <c r="Y92" s="56">
        <f>IF(V92="","",IF(R92&gt;V92,1,0))</f>
        <v/>
      </c>
      <c r="Z92" s="56">
        <f>IF(Q92="Pass",1,0)</f>
        <v/>
      </c>
      <c r="AA92" s="50" t="n"/>
      <c r="AB92" s="50" t="n"/>
      <c r="AC92" s="49" t="n"/>
      <c r="AD92" s="50" t="n"/>
      <c r="AE92" s="49" t="n"/>
    </row>
    <row r="93" ht="15.75" customHeight="1" s="40">
      <c r="A93" s="48" t="n"/>
      <c r="B93" s="48" t="n"/>
      <c r="C93" s="47" t="n"/>
      <c r="D93" s="48" t="n"/>
      <c r="E93" s="48" t="n"/>
      <c r="F93" s="48" t="n"/>
      <c r="G93" s="47" t="n"/>
      <c r="H93" s="50" t="n"/>
      <c r="I93" s="50" t="n"/>
      <c r="J93" s="50" t="n"/>
      <c r="K93" s="50" t="n"/>
      <c r="L93" s="49" t="n"/>
      <c r="M93" s="49" t="n"/>
      <c r="N93" s="49" t="n"/>
      <c r="O93" s="49" t="n"/>
      <c r="P93" s="50" t="n"/>
      <c r="Q93" s="49" t="n"/>
      <c r="R93" s="56">
        <f>IF(Q93="","",IFERROR(VLOOKUP(Q93,Lookups!$A$2:$B$8,2,FALSE),""))</f>
        <v/>
      </c>
      <c r="S93" s="53">
        <f>IF(B93="","",B93&amp;"|"&amp;TEXT(C93,"00"))</f>
        <v/>
      </c>
      <c r="T93" s="53">
        <f>IF(B93="","",B93&amp;"|"&amp;TEXT(C93-1,"00"))</f>
        <v/>
      </c>
      <c r="U93" s="53">
        <f>IFERROR(INDEX($Q:$Q,MATCH(T93,$S:$S,0)),"")</f>
        <v/>
      </c>
      <c r="V93" s="56">
        <f>IFERROR(INDEX($R:$R,MATCH(T93,$S:$S,0)),"")</f>
        <v/>
      </c>
      <c r="W93" s="56">
        <f>IF(U93="","",IF(Q93&lt;&gt;U93,1,0))</f>
        <v/>
      </c>
      <c r="X93" s="56">
        <f>IF(V93="","",IF(R93&lt;V93,1,0))</f>
        <v/>
      </c>
      <c r="Y93" s="56">
        <f>IF(V93="","",IF(R93&gt;V93,1,0))</f>
        <v/>
      </c>
      <c r="Z93" s="56">
        <f>IF(Q93="Pass",1,0)</f>
        <v/>
      </c>
      <c r="AA93" s="50" t="n"/>
      <c r="AB93" s="50" t="n"/>
      <c r="AC93" s="49" t="n"/>
      <c r="AD93" s="50" t="n"/>
      <c r="AE93" s="49" t="n"/>
    </row>
    <row r="94" ht="15.75" customHeight="1" s="40">
      <c r="A94" s="48" t="n"/>
      <c r="B94" s="48" t="n"/>
      <c r="C94" s="47" t="n"/>
      <c r="D94" s="48" t="n"/>
      <c r="E94" s="48" t="n"/>
      <c r="F94" s="48" t="n"/>
      <c r="G94" s="47" t="n"/>
      <c r="H94" s="50" t="n"/>
      <c r="I94" s="50" t="n"/>
      <c r="J94" s="50" t="n"/>
      <c r="K94" s="50" t="n"/>
      <c r="L94" s="49" t="n"/>
      <c r="M94" s="49" t="n"/>
      <c r="N94" s="49" t="n"/>
      <c r="O94" s="49" t="n"/>
      <c r="P94" s="50" t="n"/>
      <c r="Q94" s="49" t="n"/>
      <c r="R94" s="56">
        <f>IF(Q94="","",IFERROR(VLOOKUP(Q94,Lookups!$A$2:$B$8,2,FALSE),""))</f>
        <v/>
      </c>
      <c r="S94" s="53">
        <f>IF(B94="","",B94&amp;"|"&amp;TEXT(C94,"00"))</f>
        <v/>
      </c>
      <c r="T94" s="53">
        <f>IF(B94="","",B94&amp;"|"&amp;TEXT(C94-1,"00"))</f>
        <v/>
      </c>
      <c r="U94" s="53">
        <f>IFERROR(INDEX($Q:$Q,MATCH(T94,$S:$S,0)),"")</f>
        <v/>
      </c>
      <c r="V94" s="56">
        <f>IFERROR(INDEX($R:$R,MATCH(T94,$S:$S,0)),"")</f>
        <v/>
      </c>
      <c r="W94" s="56">
        <f>IF(U94="","",IF(Q94&lt;&gt;U94,1,0))</f>
        <v/>
      </c>
      <c r="X94" s="56">
        <f>IF(V94="","",IF(R94&lt;V94,1,0))</f>
        <v/>
      </c>
      <c r="Y94" s="56">
        <f>IF(V94="","",IF(R94&gt;V94,1,0))</f>
        <v/>
      </c>
      <c r="Z94" s="56">
        <f>IF(Q94="Pass",1,0)</f>
        <v/>
      </c>
      <c r="AA94" s="50" t="n"/>
      <c r="AB94" s="50" t="n"/>
      <c r="AC94" s="49" t="n"/>
      <c r="AD94" s="50" t="n"/>
      <c r="AE94" s="49" t="n"/>
    </row>
    <row r="95" ht="15.75" customHeight="1" s="40">
      <c r="A95" s="48" t="n"/>
      <c r="B95" s="48" t="n"/>
      <c r="C95" s="47" t="n"/>
      <c r="D95" s="48" t="n"/>
      <c r="E95" s="48" t="n"/>
      <c r="F95" s="48" t="n"/>
      <c r="G95" s="47" t="n"/>
      <c r="H95" s="50" t="n"/>
      <c r="I95" s="50" t="n"/>
      <c r="J95" s="50" t="n"/>
      <c r="K95" s="50" t="n"/>
      <c r="L95" s="49" t="n"/>
      <c r="M95" s="49" t="n"/>
      <c r="N95" s="49" t="n"/>
      <c r="O95" s="49" t="n"/>
      <c r="P95" s="50" t="n"/>
      <c r="Q95" s="49" t="n"/>
      <c r="R95" s="56">
        <f>IF(Q95="","",IFERROR(VLOOKUP(Q95,Lookups!$A$2:$B$8,2,FALSE),""))</f>
        <v/>
      </c>
      <c r="S95" s="53">
        <f>IF(B95="","",B95&amp;"|"&amp;TEXT(C95,"00"))</f>
        <v/>
      </c>
      <c r="T95" s="53">
        <f>IF(B95="","",B95&amp;"|"&amp;TEXT(C95-1,"00"))</f>
        <v/>
      </c>
      <c r="U95" s="53">
        <f>IFERROR(INDEX($Q:$Q,MATCH(T95,$S:$S,0)),"")</f>
        <v/>
      </c>
      <c r="V95" s="56">
        <f>IFERROR(INDEX($R:$R,MATCH(T95,$S:$S,0)),"")</f>
        <v/>
      </c>
      <c r="W95" s="56">
        <f>IF(U95="","",IF(Q95&lt;&gt;U95,1,0))</f>
        <v/>
      </c>
      <c r="X95" s="56">
        <f>IF(V95="","",IF(R95&lt;V95,1,0))</f>
        <v/>
      </c>
      <c r="Y95" s="56">
        <f>IF(V95="","",IF(R95&gt;V95,1,0))</f>
        <v/>
      </c>
      <c r="Z95" s="56">
        <f>IF(Q95="Pass",1,0)</f>
        <v/>
      </c>
      <c r="AA95" s="50" t="n"/>
      <c r="AB95" s="50" t="n"/>
      <c r="AC95" s="49" t="n"/>
      <c r="AD95" s="50" t="n"/>
      <c r="AE95" s="49" t="n"/>
    </row>
    <row r="96" ht="15.75" customHeight="1" s="40">
      <c r="A96" s="48" t="n"/>
      <c r="B96" s="48" t="n"/>
      <c r="C96" s="47" t="n"/>
      <c r="D96" s="48" t="n"/>
      <c r="E96" s="48" t="n"/>
      <c r="F96" s="48" t="n"/>
      <c r="G96" s="47" t="n"/>
      <c r="H96" s="50" t="n"/>
      <c r="I96" s="50" t="n"/>
      <c r="J96" s="50" t="n"/>
      <c r="K96" s="50" t="n"/>
      <c r="L96" s="49" t="n"/>
      <c r="M96" s="49" t="n"/>
      <c r="N96" s="49" t="n"/>
      <c r="O96" s="49" t="n"/>
      <c r="P96" s="50" t="n"/>
      <c r="Q96" s="49" t="n"/>
      <c r="R96" s="56">
        <f>IF(Q96="","",IFERROR(VLOOKUP(Q96,Lookups!$A$2:$B$8,2,FALSE),""))</f>
        <v/>
      </c>
      <c r="S96" s="53">
        <f>IF(B96="","",B96&amp;"|"&amp;TEXT(C96,"00"))</f>
        <v/>
      </c>
      <c r="T96" s="53">
        <f>IF(B96="","",B96&amp;"|"&amp;TEXT(C96-1,"00"))</f>
        <v/>
      </c>
      <c r="U96" s="53">
        <f>IFERROR(INDEX($Q:$Q,MATCH(T96,$S:$S,0)),"")</f>
        <v/>
      </c>
      <c r="V96" s="56">
        <f>IFERROR(INDEX($R:$R,MATCH(T96,$S:$S,0)),"")</f>
        <v/>
      </c>
      <c r="W96" s="56">
        <f>IF(U96="","",IF(Q96&lt;&gt;U96,1,0))</f>
        <v/>
      </c>
      <c r="X96" s="56">
        <f>IF(V96="","",IF(R96&lt;V96,1,0))</f>
        <v/>
      </c>
      <c r="Y96" s="56">
        <f>IF(V96="","",IF(R96&gt;V96,1,0))</f>
        <v/>
      </c>
      <c r="Z96" s="56">
        <f>IF(Q96="Pass",1,0)</f>
        <v/>
      </c>
      <c r="AA96" s="50" t="n"/>
      <c r="AB96" s="50" t="n"/>
      <c r="AC96" s="49" t="n"/>
      <c r="AD96" s="50" t="n"/>
      <c r="AE96" s="49" t="n"/>
    </row>
    <row r="97" ht="15.75" customHeight="1" s="40">
      <c r="A97" s="48" t="n"/>
      <c r="B97" s="48" t="n"/>
      <c r="C97" s="47" t="n"/>
      <c r="D97" s="48" t="n"/>
      <c r="E97" s="48" t="n"/>
      <c r="F97" s="48" t="n"/>
      <c r="G97" s="47" t="n"/>
      <c r="H97" s="50" t="n"/>
      <c r="I97" s="50" t="n"/>
      <c r="J97" s="50" t="n"/>
      <c r="K97" s="50" t="n"/>
      <c r="L97" s="49" t="n"/>
      <c r="M97" s="49" t="n"/>
      <c r="N97" s="49" t="n"/>
      <c r="O97" s="49" t="n"/>
      <c r="P97" s="50" t="n"/>
      <c r="Q97" s="49" t="n"/>
      <c r="R97" s="56">
        <f>IF(Q97="","",IFERROR(VLOOKUP(Q97,Lookups!$A$2:$B$8,2,FALSE),""))</f>
        <v/>
      </c>
      <c r="S97" s="53">
        <f>IF(B97="","",B97&amp;"|"&amp;TEXT(C97,"00"))</f>
        <v/>
      </c>
      <c r="T97" s="53">
        <f>IF(B97="","",B97&amp;"|"&amp;TEXT(C97-1,"00"))</f>
        <v/>
      </c>
      <c r="U97" s="53">
        <f>IFERROR(INDEX($Q:$Q,MATCH(T97,$S:$S,0)),"")</f>
        <v/>
      </c>
      <c r="V97" s="56">
        <f>IFERROR(INDEX($R:$R,MATCH(T97,$S:$S,0)),"")</f>
        <v/>
      </c>
      <c r="W97" s="56">
        <f>IF(U97="","",IF(Q97&lt;&gt;U97,1,0))</f>
        <v/>
      </c>
      <c r="X97" s="56">
        <f>IF(V97="","",IF(R97&lt;V97,1,0))</f>
        <v/>
      </c>
      <c r="Y97" s="56">
        <f>IF(V97="","",IF(R97&gt;V97,1,0))</f>
        <v/>
      </c>
      <c r="Z97" s="56">
        <f>IF(Q97="Pass",1,0)</f>
        <v/>
      </c>
      <c r="AA97" s="50" t="n"/>
      <c r="AB97" s="50" t="n"/>
      <c r="AC97" s="49" t="n"/>
      <c r="AD97" s="50" t="n"/>
      <c r="AE97" s="49" t="n"/>
    </row>
    <row r="98" ht="15.75" customHeight="1" s="40">
      <c r="A98" s="48" t="n"/>
      <c r="B98" s="48" t="n"/>
      <c r="C98" s="47" t="n"/>
      <c r="D98" s="48" t="n"/>
      <c r="E98" s="48" t="n"/>
      <c r="F98" s="48" t="n"/>
      <c r="G98" s="47" t="n"/>
      <c r="H98" s="50" t="n"/>
      <c r="I98" s="50" t="n"/>
      <c r="J98" s="50" t="n"/>
      <c r="K98" s="50" t="n"/>
      <c r="L98" s="49" t="n"/>
      <c r="M98" s="49" t="n"/>
      <c r="N98" s="49" t="n"/>
      <c r="O98" s="49" t="n"/>
      <c r="P98" s="50" t="n"/>
      <c r="Q98" s="49" t="n"/>
      <c r="R98" s="56">
        <f>IF(Q98="","",IFERROR(VLOOKUP(Q98,Lookups!$A$2:$B$8,2,FALSE),""))</f>
        <v/>
      </c>
      <c r="S98" s="53">
        <f>IF(B98="","",B98&amp;"|"&amp;TEXT(C98,"00"))</f>
        <v/>
      </c>
      <c r="T98" s="53">
        <f>IF(B98="","",B98&amp;"|"&amp;TEXT(C98-1,"00"))</f>
        <v/>
      </c>
      <c r="U98" s="53">
        <f>IFERROR(INDEX($Q:$Q,MATCH(T98,$S:$S,0)),"")</f>
        <v/>
      </c>
      <c r="V98" s="56">
        <f>IFERROR(INDEX($R:$R,MATCH(T98,$S:$S,0)),"")</f>
        <v/>
      </c>
      <c r="W98" s="56">
        <f>IF(U98="","",IF(Q98&lt;&gt;U98,1,0))</f>
        <v/>
      </c>
      <c r="X98" s="56">
        <f>IF(V98="","",IF(R98&lt;V98,1,0))</f>
        <v/>
      </c>
      <c r="Y98" s="56">
        <f>IF(V98="","",IF(R98&gt;V98,1,0))</f>
        <v/>
      </c>
      <c r="Z98" s="56">
        <f>IF(Q98="Pass",1,0)</f>
        <v/>
      </c>
      <c r="AA98" s="50" t="n"/>
      <c r="AB98" s="50" t="n"/>
      <c r="AC98" s="49" t="n"/>
      <c r="AD98" s="50" t="n"/>
      <c r="AE98" s="49" t="n"/>
    </row>
    <row r="99" ht="15.75" customHeight="1" s="40">
      <c r="A99" s="48" t="n"/>
      <c r="B99" s="48" t="n"/>
      <c r="C99" s="47" t="n"/>
      <c r="D99" s="48" t="n"/>
      <c r="E99" s="48" t="n"/>
      <c r="F99" s="48" t="n"/>
      <c r="G99" s="47" t="n"/>
      <c r="H99" s="50" t="n"/>
      <c r="I99" s="50" t="n"/>
      <c r="J99" s="50" t="n"/>
      <c r="K99" s="50" t="n"/>
      <c r="L99" s="49" t="n"/>
      <c r="M99" s="49" t="n"/>
      <c r="N99" s="49" t="n"/>
      <c r="O99" s="49" t="n"/>
      <c r="P99" s="50" t="n"/>
      <c r="Q99" s="49" t="n"/>
      <c r="R99" s="56">
        <f>IF(Q99="","",IFERROR(VLOOKUP(Q99,Lookups!$A$2:$B$8,2,FALSE),""))</f>
        <v/>
      </c>
      <c r="S99" s="53">
        <f>IF(B99="","",B99&amp;"|"&amp;TEXT(C99,"00"))</f>
        <v/>
      </c>
      <c r="T99" s="53">
        <f>IF(B99="","",B99&amp;"|"&amp;TEXT(C99-1,"00"))</f>
        <v/>
      </c>
      <c r="U99" s="53">
        <f>IFERROR(INDEX($Q:$Q,MATCH(T99,$S:$S,0)),"")</f>
        <v/>
      </c>
      <c r="V99" s="56">
        <f>IFERROR(INDEX($R:$R,MATCH(T99,$S:$S,0)),"")</f>
        <v/>
      </c>
      <c r="W99" s="56">
        <f>IF(U99="","",IF(Q99&lt;&gt;U99,1,0))</f>
        <v/>
      </c>
      <c r="X99" s="56">
        <f>IF(V99="","",IF(R99&lt;V99,1,0))</f>
        <v/>
      </c>
      <c r="Y99" s="56">
        <f>IF(V99="","",IF(R99&gt;V99,1,0))</f>
        <v/>
      </c>
      <c r="Z99" s="56">
        <f>IF(Q99="Pass",1,0)</f>
        <v/>
      </c>
      <c r="AA99" s="50" t="n"/>
      <c r="AB99" s="50" t="n"/>
      <c r="AC99" s="49" t="n"/>
      <c r="AD99" s="50" t="n"/>
      <c r="AE99" s="49" t="n"/>
    </row>
    <row r="100" ht="15.75" customHeight="1" s="40">
      <c r="A100" s="48" t="n"/>
      <c r="B100" s="48" t="n"/>
      <c r="C100" s="47" t="n"/>
      <c r="D100" s="48" t="n"/>
      <c r="E100" s="48" t="n"/>
      <c r="F100" s="48" t="n"/>
      <c r="G100" s="47" t="n"/>
      <c r="H100" s="50" t="n"/>
      <c r="I100" s="50" t="n"/>
      <c r="J100" s="50" t="n"/>
      <c r="K100" s="50" t="n"/>
      <c r="L100" s="49" t="n"/>
      <c r="M100" s="49" t="n"/>
      <c r="N100" s="49" t="n"/>
      <c r="O100" s="49" t="n"/>
      <c r="P100" s="50" t="n"/>
      <c r="Q100" s="49" t="n"/>
      <c r="R100" s="56">
        <f>IF(Q100="","",IFERROR(VLOOKUP(Q100,Lookups!$A$2:$B$8,2,FALSE),""))</f>
        <v/>
      </c>
      <c r="S100" s="53">
        <f>IF(B100="","",B100&amp;"|"&amp;TEXT(C100,"00"))</f>
        <v/>
      </c>
      <c r="T100" s="53">
        <f>IF(B100="","",B100&amp;"|"&amp;TEXT(C100-1,"00"))</f>
        <v/>
      </c>
      <c r="U100" s="53">
        <f>IFERROR(INDEX($Q:$Q,MATCH(T100,$S:$S,0)),"")</f>
        <v/>
      </c>
      <c r="V100" s="56">
        <f>IFERROR(INDEX($R:$R,MATCH(T100,$S:$S,0)),"")</f>
        <v/>
      </c>
      <c r="W100" s="56">
        <f>IF(U100="","",IF(Q100&lt;&gt;U100,1,0))</f>
        <v/>
      </c>
      <c r="X100" s="56">
        <f>IF(V100="","",IF(R100&lt;V100,1,0))</f>
        <v/>
      </c>
      <c r="Y100" s="56">
        <f>IF(V100="","",IF(R100&gt;V100,1,0))</f>
        <v/>
      </c>
      <c r="Z100" s="56">
        <f>IF(Q100="Pass",1,0)</f>
        <v/>
      </c>
      <c r="AA100" s="50" t="n"/>
      <c r="AB100" s="50" t="n"/>
      <c r="AC100" s="49" t="n"/>
      <c r="AD100" s="50" t="n"/>
      <c r="AE100" s="49" t="n"/>
    </row>
    <row r="101" ht="15.75" customHeight="1" s="40">
      <c r="A101" s="48" t="n"/>
      <c r="B101" s="48" t="n"/>
      <c r="C101" s="47" t="n"/>
      <c r="D101" s="48" t="n"/>
      <c r="E101" s="48" t="n"/>
      <c r="F101" s="48" t="n"/>
      <c r="G101" s="47" t="n"/>
      <c r="H101" s="50" t="n"/>
      <c r="I101" s="50" t="n"/>
      <c r="J101" s="50" t="n"/>
      <c r="K101" s="50" t="n"/>
      <c r="L101" s="49" t="n"/>
      <c r="M101" s="49" t="n"/>
      <c r="N101" s="49" t="n"/>
      <c r="O101" s="49" t="n"/>
      <c r="P101" s="50" t="n"/>
      <c r="Q101" s="49" t="n"/>
      <c r="R101" s="56">
        <f>IF(Q101="","",IFERROR(VLOOKUP(Q101,Lookups!$A$2:$B$8,2,FALSE),""))</f>
        <v/>
      </c>
      <c r="S101" s="53">
        <f>IF(B101="","",B101&amp;"|"&amp;TEXT(C101,"00"))</f>
        <v/>
      </c>
      <c r="T101" s="53">
        <f>IF(B101="","",B101&amp;"|"&amp;TEXT(C101-1,"00"))</f>
        <v/>
      </c>
      <c r="U101" s="53">
        <f>IFERROR(INDEX($Q:$Q,MATCH(T101,$S:$S,0)),"")</f>
        <v/>
      </c>
      <c r="V101" s="56">
        <f>IFERROR(INDEX($R:$R,MATCH(T101,$S:$S,0)),"")</f>
        <v/>
      </c>
      <c r="W101" s="56">
        <f>IF(U101="","",IF(Q101&lt;&gt;U101,1,0))</f>
        <v/>
      </c>
      <c r="X101" s="56">
        <f>IF(V101="","",IF(R101&lt;V101,1,0))</f>
        <v/>
      </c>
      <c r="Y101" s="56">
        <f>IF(V101="","",IF(R101&gt;V101,1,0))</f>
        <v/>
      </c>
      <c r="Z101" s="56">
        <f>IF(Q101="Pass",1,0)</f>
        <v/>
      </c>
      <c r="AA101" s="50" t="n"/>
      <c r="AB101" s="50" t="n"/>
      <c r="AC101" s="49" t="n"/>
      <c r="AD101" s="50" t="n"/>
      <c r="AE101" s="49" t="n"/>
    </row>
    <row r="102" ht="15.75" customHeight="1" s="40">
      <c r="A102" s="48" t="n"/>
      <c r="B102" s="48" t="n"/>
      <c r="C102" s="47" t="n"/>
      <c r="D102" s="48" t="n"/>
      <c r="E102" s="48" t="n"/>
      <c r="F102" s="48" t="n"/>
      <c r="G102" s="47" t="n"/>
      <c r="H102" s="50" t="n"/>
      <c r="I102" s="50" t="n"/>
      <c r="J102" s="50" t="n"/>
      <c r="K102" s="50" t="n"/>
      <c r="L102" s="49" t="n"/>
      <c r="M102" s="49" t="n"/>
      <c r="N102" s="49" t="n"/>
      <c r="O102" s="49" t="n"/>
      <c r="P102" s="50" t="n"/>
      <c r="Q102" s="49" t="n"/>
      <c r="R102" s="56">
        <f>IF(Q102="","",IFERROR(VLOOKUP(Q102,Lookups!$A$2:$B$8,2,FALSE),""))</f>
        <v/>
      </c>
      <c r="S102" s="53">
        <f>IF(B102="","",B102&amp;"|"&amp;TEXT(C102,"00"))</f>
        <v/>
      </c>
      <c r="T102" s="53">
        <f>IF(B102="","",B102&amp;"|"&amp;TEXT(C102-1,"00"))</f>
        <v/>
      </c>
      <c r="U102" s="53">
        <f>IFERROR(INDEX($Q:$Q,MATCH(T102,$S:$S,0)),"")</f>
        <v/>
      </c>
      <c r="V102" s="56">
        <f>IFERROR(INDEX($R:$R,MATCH(T102,$S:$S,0)),"")</f>
        <v/>
      </c>
      <c r="W102" s="56">
        <f>IF(U102="","",IF(Q102&lt;&gt;U102,1,0))</f>
        <v/>
      </c>
      <c r="X102" s="56">
        <f>IF(V102="","",IF(R102&lt;V102,1,0))</f>
        <v/>
      </c>
      <c r="Y102" s="56">
        <f>IF(V102="","",IF(R102&gt;V102,1,0))</f>
        <v/>
      </c>
      <c r="Z102" s="56">
        <f>IF(Q102="Pass",1,0)</f>
        <v/>
      </c>
      <c r="AA102" s="50" t="n"/>
      <c r="AB102" s="50" t="n"/>
      <c r="AC102" s="49" t="n"/>
      <c r="AD102" s="50" t="n"/>
      <c r="AE102" s="49" t="n"/>
    </row>
    <row r="103" ht="15.75" customHeight="1" s="40">
      <c r="A103" s="48" t="n"/>
      <c r="B103" s="48" t="n"/>
      <c r="C103" s="47" t="n"/>
      <c r="D103" s="48" t="n"/>
      <c r="E103" s="48" t="n"/>
      <c r="F103" s="48" t="n"/>
      <c r="G103" s="47" t="n"/>
      <c r="H103" s="50" t="n"/>
      <c r="I103" s="50" t="n"/>
      <c r="J103" s="50" t="n"/>
      <c r="K103" s="50" t="n"/>
      <c r="L103" s="49" t="n"/>
      <c r="M103" s="49" t="n"/>
      <c r="N103" s="49" t="n"/>
      <c r="O103" s="49" t="n"/>
      <c r="P103" s="50" t="n"/>
      <c r="Q103" s="49" t="n"/>
      <c r="R103" s="56">
        <f>IF(Q103="","",IFERROR(VLOOKUP(Q103,Lookups!$A$2:$B$8,2,FALSE),""))</f>
        <v/>
      </c>
      <c r="S103" s="53">
        <f>IF(B103="","",B103&amp;"|"&amp;TEXT(C103,"00"))</f>
        <v/>
      </c>
      <c r="T103" s="53">
        <f>IF(B103="","",B103&amp;"|"&amp;TEXT(C103-1,"00"))</f>
        <v/>
      </c>
      <c r="U103" s="53">
        <f>IFERROR(INDEX($Q:$Q,MATCH(T103,$S:$S,0)),"")</f>
        <v/>
      </c>
      <c r="V103" s="56">
        <f>IFERROR(INDEX($R:$R,MATCH(T103,$S:$S,0)),"")</f>
        <v/>
      </c>
      <c r="W103" s="56">
        <f>IF(U103="","",IF(Q103&lt;&gt;U103,1,0))</f>
        <v/>
      </c>
      <c r="X103" s="56">
        <f>IF(V103="","",IF(R103&lt;V103,1,0))</f>
        <v/>
      </c>
      <c r="Y103" s="56">
        <f>IF(V103="","",IF(R103&gt;V103,1,0))</f>
        <v/>
      </c>
      <c r="Z103" s="56">
        <f>IF(Q103="Pass",1,0)</f>
        <v/>
      </c>
      <c r="AA103" s="50" t="n"/>
      <c r="AB103" s="50" t="n"/>
      <c r="AC103" s="49" t="n"/>
      <c r="AD103" s="50" t="n"/>
      <c r="AE103" s="49" t="n"/>
    </row>
    <row r="104" ht="15.75" customHeight="1" s="40">
      <c r="A104" s="48" t="n"/>
      <c r="B104" s="48" t="n"/>
      <c r="C104" s="47" t="n"/>
      <c r="D104" s="48" t="n"/>
      <c r="E104" s="48" t="n"/>
      <c r="F104" s="48" t="n"/>
      <c r="G104" s="47" t="n"/>
      <c r="H104" s="50" t="n"/>
      <c r="I104" s="50" t="n"/>
      <c r="J104" s="50" t="n"/>
      <c r="K104" s="50" t="n"/>
      <c r="L104" s="49" t="n"/>
      <c r="M104" s="49" t="n"/>
      <c r="N104" s="49" t="n"/>
      <c r="O104" s="49" t="n"/>
      <c r="P104" s="50" t="n"/>
      <c r="Q104" s="49" t="n"/>
      <c r="R104" s="56">
        <f>IF(Q104="","",IFERROR(VLOOKUP(Q104,Lookups!$A$2:$B$8,2,FALSE),""))</f>
        <v/>
      </c>
      <c r="S104" s="53">
        <f>IF(B104="","",B104&amp;"|"&amp;TEXT(C104,"00"))</f>
        <v/>
      </c>
      <c r="T104" s="53">
        <f>IF(B104="","",B104&amp;"|"&amp;TEXT(C104-1,"00"))</f>
        <v/>
      </c>
      <c r="U104" s="53">
        <f>IFERROR(INDEX($Q:$Q,MATCH(T104,$S:$S,0)),"")</f>
        <v/>
      </c>
      <c r="V104" s="56">
        <f>IFERROR(INDEX($R:$R,MATCH(T104,$S:$S,0)),"")</f>
        <v/>
      </c>
      <c r="W104" s="56">
        <f>IF(U104="","",IF(Q104&lt;&gt;U104,1,0))</f>
        <v/>
      </c>
      <c r="X104" s="56">
        <f>IF(V104="","",IF(R104&lt;V104,1,0))</f>
        <v/>
      </c>
      <c r="Y104" s="56">
        <f>IF(V104="","",IF(R104&gt;V104,1,0))</f>
        <v/>
      </c>
      <c r="Z104" s="56">
        <f>IF(Q104="Pass",1,0)</f>
        <v/>
      </c>
      <c r="AA104" s="50" t="n"/>
      <c r="AB104" s="50" t="n"/>
      <c r="AC104" s="49" t="n"/>
      <c r="AD104" s="50" t="n"/>
      <c r="AE104" s="49" t="n"/>
    </row>
    <row r="105" ht="15.75" customHeight="1" s="40">
      <c r="A105" s="48" t="n"/>
      <c r="B105" s="48" t="n"/>
      <c r="C105" s="47" t="n"/>
      <c r="D105" s="48" t="n"/>
      <c r="E105" s="48" t="n"/>
      <c r="F105" s="48" t="n"/>
      <c r="G105" s="47" t="n"/>
      <c r="H105" s="50" t="n"/>
      <c r="I105" s="50" t="n"/>
      <c r="J105" s="50" t="n"/>
      <c r="K105" s="50" t="n"/>
      <c r="L105" s="49" t="n"/>
      <c r="M105" s="49" t="n"/>
      <c r="N105" s="49" t="n"/>
      <c r="O105" s="49" t="n"/>
      <c r="P105" s="50" t="n"/>
      <c r="Q105" s="49" t="n"/>
      <c r="R105" s="56">
        <f>IF(Q105="","",IFERROR(VLOOKUP(Q105,Lookups!$A$2:$B$8,2,FALSE),""))</f>
        <v/>
      </c>
      <c r="S105" s="53">
        <f>IF(B105="","",B105&amp;"|"&amp;TEXT(C105,"00"))</f>
        <v/>
      </c>
      <c r="T105" s="53">
        <f>IF(B105="","",B105&amp;"|"&amp;TEXT(C105-1,"00"))</f>
        <v/>
      </c>
      <c r="U105" s="53">
        <f>IFERROR(INDEX($Q:$Q,MATCH(T105,$S:$S,0)),"")</f>
        <v/>
      </c>
      <c r="V105" s="56">
        <f>IFERROR(INDEX($R:$R,MATCH(T105,$S:$S,0)),"")</f>
        <v/>
      </c>
      <c r="W105" s="56">
        <f>IF(U105="","",IF(Q105&lt;&gt;U105,1,0))</f>
        <v/>
      </c>
      <c r="X105" s="56">
        <f>IF(V105="","",IF(R105&lt;V105,1,0))</f>
        <v/>
      </c>
      <c r="Y105" s="56">
        <f>IF(V105="","",IF(R105&gt;V105,1,0))</f>
        <v/>
      </c>
      <c r="Z105" s="56">
        <f>IF(Q105="Pass",1,0)</f>
        <v/>
      </c>
      <c r="AA105" s="50" t="n"/>
      <c r="AB105" s="50" t="n"/>
      <c r="AC105" s="49" t="n"/>
      <c r="AD105" s="50" t="n"/>
      <c r="AE105" s="49" t="n"/>
    </row>
    <row r="106" ht="15.75" customHeight="1" s="40">
      <c r="A106" s="48" t="n"/>
      <c r="B106" s="48" t="n"/>
      <c r="C106" s="47" t="n"/>
      <c r="D106" s="48" t="n"/>
      <c r="E106" s="48" t="n"/>
      <c r="F106" s="48" t="n"/>
      <c r="G106" s="47" t="n"/>
      <c r="H106" s="50" t="n"/>
      <c r="I106" s="50" t="n"/>
      <c r="J106" s="50" t="n"/>
      <c r="K106" s="50" t="n"/>
      <c r="L106" s="49" t="n"/>
      <c r="M106" s="49" t="n"/>
      <c r="N106" s="49" t="n"/>
      <c r="O106" s="49" t="n"/>
      <c r="P106" s="50" t="n"/>
      <c r="Q106" s="49" t="n"/>
      <c r="R106" s="56">
        <f>IF(Q106="","",IFERROR(VLOOKUP(Q106,Lookups!$A$2:$B$8,2,FALSE),""))</f>
        <v/>
      </c>
      <c r="S106" s="53">
        <f>IF(B106="","",B106&amp;"|"&amp;TEXT(C106,"00"))</f>
        <v/>
      </c>
      <c r="T106" s="53">
        <f>IF(B106="","",B106&amp;"|"&amp;TEXT(C106-1,"00"))</f>
        <v/>
      </c>
      <c r="U106" s="53">
        <f>IFERROR(INDEX($Q:$Q,MATCH(T106,$S:$S,0)),"")</f>
        <v/>
      </c>
      <c r="V106" s="56">
        <f>IFERROR(INDEX($R:$R,MATCH(T106,$S:$S,0)),"")</f>
        <v/>
      </c>
      <c r="W106" s="56">
        <f>IF(U106="","",IF(Q106&lt;&gt;U106,1,0))</f>
        <v/>
      </c>
      <c r="X106" s="56">
        <f>IF(V106="","",IF(R106&lt;V106,1,0))</f>
        <v/>
      </c>
      <c r="Y106" s="56">
        <f>IF(V106="","",IF(R106&gt;V106,1,0))</f>
        <v/>
      </c>
      <c r="Z106" s="56">
        <f>IF(Q106="Pass",1,0)</f>
        <v/>
      </c>
      <c r="AA106" s="50" t="n"/>
      <c r="AB106" s="50" t="n"/>
      <c r="AC106" s="49" t="n"/>
      <c r="AD106" s="50" t="n"/>
      <c r="AE106" s="49" t="n"/>
    </row>
    <row r="107" ht="15.75" customHeight="1" s="40">
      <c r="A107" s="48" t="n"/>
      <c r="B107" s="48" t="n"/>
      <c r="C107" s="47" t="n"/>
      <c r="D107" s="48" t="n"/>
      <c r="E107" s="48" t="n"/>
      <c r="F107" s="48" t="n"/>
      <c r="G107" s="47" t="n"/>
      <c r="H107" s="50" t="n"/>
      <c r="I107" s="50" t="n"/>
      <c r="J107" s="50" t="n"/>
      <c r="K107" s="50" t="n"/>
      <c r="L107" s="49" t="n"/>
      <c r="M107" s="49" t="n"/>
      <c r="N107" s="49" t="n"/>
      <c r="O107" s="49" t="n"/>
      <c r="P107" s="50" t="n"/>
      <c r="Q107" s="49" t="n"/>
      <c r="R107" s="56">
        <f>IF(Q107="","",IFERROR(VLOOKUP(Q107,Lookups!$A$2:$B$8,2,FALSE),""))</f>
        <v/>
      </c>
      <c r="S107" s="53">
        <f>IF(B107="","",B107&amp;"|"&amp;TEXT(C107,"00"))</f>
        <v/>
      </c>
      <c r="T107" s="53">
        <f>IF(B107="","",B107&amp;"|"&amp;TEXT(C107-1,"00"))</f>
        <v/>
      </c>
      <c r="U107" s="53">
        <f>IFERROR(INDEX($Q:$Q,MATCH(T107,$S:$S,0)),"")</f>
        <v/>
      </c>
      <c r="V107" s="56">
        <f>IFERROR(INDEX($R:$R,MATCH(T107,$S:$S,0)),"")</f>
        <v/>
      </c>
      <c r="W107" s="56">
        <f>IF(U107="","",IF(Q107&lt;&gt;U107,1,0))</f>
        <v/>
      </c>
      <c r="X107" s="56">
        <f>IF(V107="","",IF(R107&lt;V107,1,0))</f>
        <v/>
      </c>
      <c r="Y107" s="56">
        <f>IF(V107="","",IF(R107&gt;V107,1,0))</f>
        <v/>
      </c>
      <c r="Z107" s="56">
        <f>IF(Q107="Pass",1,0)</f>
        <v/>
      </c>
      <c r="AA107" s="50" t="n"/>
      <c r="AB107" s="50" t="n"/>
      <c r="AC107" s="49" t="n"/>
      <c r="AD107" s="50" t="n"/>
      <c r="AE107" s="49" t="n"/>
    </row>
    <row r="108" ht="15.75" customHeight="1" s="40">
      <c r="A108" s="48" t="n"/>
      <c r="B108" s="48" t="n"/>
      <c r="C108" s="47" t="n"/>
      <c r="D108" s="48" t="n"/>
      <c r="E108" s="48" t="n"/>
      <c r="F108" s="48" t="n"/>
      <c r="G108" s="47" t="n"/>
      <c r="H108" s="50" t="n"/>
      <c r="I108" s="50" t="n"/>
      <c r="J108" s="50" t="n"/>
      <c r="K108" s="50" t="n"/>
      <c r="L108" s="49" t="n"/>
      <c r="M108" s="49" t="n"/>
      <c r="N108" s="49" t="n"/>
      <c r="O108" s="49" t="n"/>
      <c r="P108" s="50" t="n"/>
      <c r="Q108" s="49" t="n"/>
      <c r="R108" s="56">
        <f>IF(Q108="","",IFERROR(VLOOKUP(Q108,Lookups!$A$2:$B$8,2,FALSE),""))</f>
        <v/>
      </c>
      <c r="S108" s="53">
        <f>IF(B108="","",B108&amp;"|"&amp;TEXT(C108,"00"))</f>
        <v/>
      </c>
      <c r="T108" s="53">
        <f>IF(B108="","",B108&amp;"|"&amp;TEXT(C108-1,"00"))</f>
        <v/>
      </c>
      <c r="U108" s="53">
        <f>IFERROR(INDEX($Q:$Q,MATCH(T108,$S:$S,0)),"")</f>
        <v/>
      </c>
      <c r="V108" s="56">
        <f>IFERROR(INDEX($R:$R,MATCH(T108,$S:$S,0)),"")</f>
        <v/>
      </c>
      <c r="W108" s="56">
        <f>IF(U108="","",IF(Q108&lt;&gt;U108,1,0))</f>
        <v/>
      </c>
      <c r="X108" s="56">
        <f>IF(V108="","",IF(R108&lt;V108,1,0))</f>
        <v/>
      </c>
      <c r="Y108" s="56">
        <f>IF(V108="","",IF(R108&gt;V108,1,0))</f>
        <v/>
      </c>
      <c r="Z108" s="56">
        <f>IF(Q108="Pass",1,0)</f>
        <v/>
      </c>
      <c r="AA108" s="50" t="n"/>
      <c r="AB108" s="50" t="n"/>
      <c r="AC108" s="49" t="n"/>
      <c r="AD108" s="50" t="n"/>
      <c r="AE108" s="49" t="n"/>
    </row>
    <row r="109" ht="15.75" customHeight="1" s="40">
      <c r="A109" s="48" t="n"/>
      <c r="B109" s="48" t="n"/>
      <c r="C109" s="47" t="n"/>
      <c r="D109" s="48" t="n"/>
      <c r="E109" s="48" t="n"/>
      <c r="F109" s="48" t="n"/>
      <c r="G109" s="47" t="n"/>
      <c r="H109" s="50" t="n"/>
      <c r="I109" s="50" t="n"/>
      <c r="J109" s="50" t="n"/>
      <c r="K109" s="50" t="n"/>
      <c r="L109" s="49" t="n"/>
      <c r="M109" s="49" t="n"/>
      <c r="N109" s="49" t="n"/>
      <c r="O109" s="49" t="n"/>
      <c r="P109" s="50" t="n"/>
      <c r="Q109" s="49" t="n"/>
      <c r="R109" s="56">
        <f>IF(Q109="","",IFERROR(VLOOKUP(Q109,Lookups!$A$2:$B$8,2,FALSE),""))</f>
        <v/>
      </c>
      <c r="S109" s="53">
        <f>IF(B109="","",B109&amp;"|"&amp;TEXT(C109,"00"))</f>
        <v/>
      </c>
      <c r="T109" s="53">
        <f>IF(B109="","",B109&amp;"|"&amp;TEXT(C109-1,"00"))</f>
        <v/>
      </c>
      <c r="U109" s="53">
        <f>IFERROR(INDEX($Q:$Q,MATCH(T109,$S:$S,0)),"")</f>
        <v/>
      </c>
      <c r="V109" s="56">
        <f>IFERROR(INDEX($R:$R,MATCH(T109,$S:$S,0)),"")</f>
        <v/>
      </c>
      <c r="W109" s="56">
        <f>IF(U109="","",IF(Q109&lt;&gt;U109,1,0))</f>
        <v/>
      </c>
      <c r="X109" s="56">
        <f>IF(V109="","",IF(R109&lt;V109,1,0))</f>
        <v/>
      </c>
      <c r="Y109" s="56">
        <f>IF(V109="","",IF(R109&gt;V109,1,0))</f>
        <v/>
      </c>
      <c r="Z109" s="56">
        <f>IF(Q109="Pass",1,0)</f>
        <v/>
      </c>
      <c r="AA109" s="50" t="n"/>
      <c r="AB109" s="50" t="n"/>
      <c r="AC109" s="49" t="n"/>
      <c r="AD109" s="50" t="n"/>
      <c r="AE109" s="49" t="n"/>
    </row>
    <row r="110" ht="15.75" customHeight="1" s="40">
      <c r="A110" s="48" t="n"/>
      <c r="B110" s="48" t="n"/>
      <c r="C110" s="47" t="n"/>
      <c r="D110" s="48" t="n"/>
      <c r="E110" s="48" t="n"/>
      <c r="F110" s="48" t="n"/>
      <c r="G110" s="47" t="n"/>
      <c r="H110" s="50" t="n"/>
      <c r="I110" s="50" t="n"/>
      <c r="J110" s="50" t="n"/>
      <c r="K110" s="50" t="n"/>
      <c r="L110" s="49" t="n"/>
      <c r="M110" s="49" t="n"/>
      <c r="N110" s="49" t="n"/>
      <c r="O110" s="49" t="n"/>
      <c r="P110" s="50" t="n"/>
      <c r="Q110" s="49" t="n"/>
      <c r="R110" s="56">
        <f>IF(Q110="","",IFERROR(VLOOKUP(Q110,Lookups!$A$2:$B$8,2,FALSE),""))</f>
        <v/>
      </c>
      <c r="S110" s="53">
        <f>IF(B110="","",B110&amp;"|"&amp;TEXT(C110,"00"))</f>
        <v/>
      </c>
      <c r="T110" s="53">
        <f>IF(B110="","",B110&amp;"|"&amp;TEXT(C110-1,"00"))</f>
        <v/>
      </c>
      <c r="U110" s="53">
        <f>IFERROR(INDEX($Q:$Q,MATCH(T110,$S:$S,0)),"")</f>
        <v/>
      </c>
      <c r="V110" s="56">
        <f>IFERROR(INDEX($R:$R,MATCH(T110,$S:$S,0)),"")</f>
        <v/>
      </c>
      <c r="W110" s="56">
        <f>IF(U110="","",IF(Q110&lt;&gt;U110,1,0))</f>
        <v/>
      </c>
      <c r="X110" s="56">
        <f>IF(V110="","",IF(R110&lt;V110,1,0))</f>
        <v/>
      </c>
      <c r="Y110" s="56">
        <f>IF(V110="","",IF(R110&gt;V110,1,0))</f>
        <v/>
      </c>
      <c r="Z110" s="56">
        <f>IF(Q110="Pass",1,0)</f>
        <v/>
      </c>
      <c r="AA110" s="50" t="n"/>
      <c r="AB110" s="50" t="n"/>
      <c r="AC110" s="49" t="n"/>
      <c r="AD110" s="50" t="n"/>
      <c r="AE110" s="49" t="n"/>
    </row>
    <row r="111" ht="15.75" customHeight="1" s="40">
      <c r="A111" s="48" t="n"/>
      <c r="B111" s="48" t="n"/>
      <c r="C111" s="47" t="n"/>
      <c r="D111" s="48" t="n"/>
      <c r="E111" s="48" t="n"/>
      <c r="F111" s="48" t="n"/>
      <c r="G111" s="47" t="n"/>
      <c r="H111" s="50" t="n"/>
      <c r="I111" s="50" t="n"/>
      <c r="J111" s="50" t="n"/>
      <c r="K111" s="50" t="n"/>
      <c r="L111" s="49" t="n"/>
      <c r="M111" s="49" t="n"/>
      <c r="N111" s="49" t="n"/>
      <c r="O111" s="49" t="n"/>
      <c r="P111" s="50" t="n"/>
      <c r="Q111" s="49" t="n"/>
      <c r="R111" s="56">
        <f>IF(Q111="","",IFERROR(VLOOKUP(Q111,Lookups!$A$2:$B$8,2,FALSE),""))</f>
        <v/>
      </c>
      <c r="S111" s="53">
        <f>IF(B111="","",B111&amp;"|"&amp;TEXT(C111,"00"))</f>
        <v/>
      </c>
      <c r="T111" s="53">
        <f>IF(B111="","",B111&amp;"|"&amp;TEXT(C111-1,"00"))</f>
        <v/>
      </c>
      <c r="U111" s="53">
        <f>IFERROR(INDEX($Q:$Q,MATCH(T111,$S:$S,0)),"")</f>
        <v/>
      </c>
      <c r="V111" s="56">
        <f>IFERROR(INDEX($R:$R,MATCH(T111,$S:$S,0)),"")</f>
        <v/>
      </c>
      <c r="W111" s="56">
        <f>IF(U111="","",IF(Q111&lt;&gt;U111,1,0))</f>
        <v/>
      </c>
      <c r="X111" s="56">
        <f>IF(V111="","",IF(R111&lt;V111,1,0))</f>
        <v/>
      </c>
      <c r="Y111" s="56">
        <f>IF(V111="","",IF(R111&gt;V111,1,0))</f>
        <v/>
      </c>
      <c r="Z111" s="56">
        <f>IF(Q111="Pass",1,0)</f>
        <v/>
      </c>
      <c r="AA111" s="50" t="n"/>
      <c r="AB111" s="50" t="n"/>
      <c r="AC111" s="49" t="n"/>
      <c r="AD111" s="50" t="n"/>
      <c r="AE111" s="49" t="n"/>
    </row>
    <row r="112" ht="15.75" customHeight="1" s="40">
      <c r="A112" s="48" t="n"/>
      <c r="B112" s="48" t="n"/>
      <c r="C112" s="47" t="n"/>
      <c r="D112" s="48" t="n"/>
      <c r="E112" s="48" t="n"/>
      <c r="F112" s="48" t="n"/>
      <c r="G112" s="47" t="n"/>
      <c r="H112" s="50" t="n"/>
      <c r="I112" s="50" t="n"/>
      <c r="J112" s="50" t="n"/>
      <c r="K112" s="50" t="n"/>
      <c r="L112" s="49" t="n"/>
      <c r="M112" s="49" t="n"/>
      <c r="N112" s="49" t="n"/>
      <c r="O112" s="49" t="n"/>
      <c r="P112" s="50" t="n"/>
      <c r="Q112" s="49" t="n"/>
      <c r="R112" s="56">
        <f>IF(Q112="","",IFERROR(VLOOKUP(Q112,Lookups!$A$2:$B$8,2,FALSE),""))</f>
        <v/>
      </c>
      <c r="S112" s="53">
        <f>IF(B112="","",B112&amp;"|"&amp;TEXT(C112,"00"))</f>
        <v/>
      </c>
      <c r="T112" s="53">
        <f>IF(B112="","",B112&amp;"|"&amp;TEXT(C112-1,"00"))</f>
        <v/>
      </c>
      <c r="U112" s="53">
        <f>IFERROR(INDEX($Q:$Q,MATCH(T112,$S:$S,0)),"")</f>
        <v/>
      </c>
      <c r="V112" s="56">
        <f>IFERROR(INDEX($R:$R,MATCH(T112,$S:$S,0)),"")</f>
        <v/>
      </c>
      <c r="W112" s="56">
        <f>IF(U112="","",IF(Q112&lt;&gt;U112,1,0))</f>
        <v/>
      </c>
      <c r="X112" s="56">
        <f>IF(V112="","",IF(R112&lt;V112,1,0))</f>
        <v/>
      </c>
      <c r="Y112" s="56">
        <f>IF(V112="","",IF(R112&gt;V112,1,0))</f>
        <v/>
      </c>
      <c r="Z112" s="56">
        <f>IF(Q112="Pass",1,0)</f>
        <v/>
      </c>
      <c r="AA112" s="50" t="n"/>
      <c r="AB112" s="50" t="n"/>
      <c r="AC112" s="49" t="n"/>
      <c r="AD112" s="50" t="n"/>
      <c r="AE112" s="49" t="n"/>
    </row>
    <row r="113" ht="15.75" customHeight="1" s="40">
      <c r="A113" s="48" t="n"/>
      <c r="B113" s="48" t="n"/>
      <c r="C113" s="47" t="n"/>
      <c r="D113" s="48" t="n"/>
      <c r="E113" s="48" t="n"/>
      <c r="F113" s="48" t="n"/>
      <c r="G113" s="47" t="n"/>
      <c r="H113" s="50" t="n"/>
      <c r="I113" s="50" t="n"/>
      <c r="J113" s="50" t="n"/>
      <c r="K113" s="50" t="n"/>
      <c r="L113" s="49" t="n"/>
      <c r="M113" s="49" t="n"/>
      <c r="N113" s="49" t="n"/>
      <c r="O113" s="49" t="n"/>
      <c r="P113" s="50" t="n"/>
      <c r="Q113" s="49" t="n"/>
      <c r="R113" s="56">
        <f>IF(Q113="","",IFERROR(VLOOKUP(Q113,Lookups!$A$2:$B$8,2,FALSE),""))</f>
        <v/>
      </c>
      <c r="S113" s="53">
        <f>IF(B113="","",B113&amp;"|"&amp;TEXT(C113,"00"))</f>
        <v/>
      </c>
      <c r="T113" s="53">
        <f>IF(B113="","",B113&amp;"|"&amp;TEXT(C113-1,"00"))</f>
        <v/>
      </c>
      <c r="U113" s="53">
        <f>IFERROR(INDEX($Q:$Q,MATCH(T113,$S:$S,0)),"")</f>
        <v/>
      </c>
      <c r="V113" s="56">
        <f>IFERROR(INDEX($R:$R,MATCH(T113,$S:$S,0)),"")</f>
        <v/>
      </c>
      <c r="W113" s="56">
        <f>IF(U113="","",IF(Q113&lt;&gt;U113,1,0))</f>
        <v/>
      </c>
      <c r="X113" s="56">
        <f>IF(V113="","",IF(R113&lt;V113,1,0))</f>
        <v/>
      </c>
      <c r="Y113" s="56">
        <f>IF(V113="","",IF(R113&gt;V113,1,0))</f>
        <v/>
      </c>
      <c r="Z113" s="56">
        <f>IF(Q113="Pass",1,0)</f>
        <v/>
      </c>
      <c r="AA113" s="50" t="n"/>
      <c r="AB113" s="50" t="n"/>
      <c r="AC113" s="49" t="n"/>
      <c r="AD113" s="50" t="n"/>
      <c r="AE113" s="49" t="n"/>
    </row>
    <row r="114" ht="15.75" customHeight="1" s="40">
      <c r="A114" s="48" t="n"/>
      <c r="B114" s="48" t="n"/>
      <c r="C114" s="47" t="n"/>
      <c r="D114" s="48" t="n"/>
      <c r="E114" s="48" t="n"/>
      <c r="F114" s="48" t="n"/>
      <c r="G114" s="47" t="n"/>
      <c r="H114" s="50" t="n"/>
      <c r="I114" s="50" t="n"/>
      <c r="J114" s="50" t="n"/>
      <c r="K114" s="50" t="n"/>
      <c r="L114" s="49" t="n"/>
      <c r="M114" s="49" t="n"/>
      <c r="N114" s="49" t="n"/>
      <c r="O114" s="49" t="n"/>
      <c r="P114" s="50" t="n"/>
      <c r="Q114" s="49" t="n"/>
      <c r="R114" s="56">
        <f>IF(Q114="","",IFERROR(VLOOKUP(Q114,Lookups!$A$2:$B$8,2,FALSE),""))</f>
        <v/>
      </c>
      <c r="S114" s="53">
        <f>IF(B114="","",B114&amp;"|"&amp;TEXT(C114,"00"))</f>
        <v/>
      </c>
      <c r="T114" s="53">
        <f>IF(B114="","",B114&amp;"|"&amp;TEXT(C114-1,"00"))</f>
        <v/>
      </c>
      <c r="U114" s="53">
        <f>IFERROR(INDEX($Q:$Q,MATCH(T114,$S:$S,0)),"")</f>
        <v/>
      </c>
      <c r="V114" s="56">
        <f>IFERROR(INDEX($R:$R,MATCH(T114,$S:$S,0)),"")</f>
        <v/>
      </c>
      <c r="W114" s="56">
        <f>IF(U114="","",IF(Q114&lt;&gt;U114,1,0))</f>
        <v/>
      </c>
      <c r="X114" s="56">
        <f>IF(V114="","",IF(R114&lt;V114,1,0))</f>
        <v/>
      </c>
      <c r="Y114" s="56">
        <f>IF(V114="","",IF(R114&gt;V114,1,0))</f>
        <v/>
      </c>
      <c r="Z114" s="56">
        <f>IF(Q114="Pass",1,0)</f>
        <v/>
      </c>
      <c r="AA114" s="50" t="n"/>
      <c r="AB114" s="50" t="n"/>
      <c r="AC114" s="49" t="n"/>
      <c r="AD114" s="50" t="n"/>
      <c r="AE114" s="49" t="n"/>
    </row>
    <row r="115" ht="15.75" customHeight="1" s="40">
      <c r="A115" s="48" t="n"/>
      <c r="B115" s="48" t="n"/>
      <c r="C115" s="47" t="n"/>
      <c r="D115" s="48" t="n"/>
      <c r="E115" s="48" t="n"/>
      <c r="F115" s="48" t="n"/>
      <c r="G115" s="47" t="n"/>
      <c r="H115" s="50" t="n"/>
      <c r="I115" s="50" t="n"/>
      <c r="J115" s="50" t="n"/>
      <c r="K115" s="50" t="n"/>
      <c r="L115" s="49" t="n"/>
      <c r="M115" s="49" t="n"/>
      <c r="N115" s="49" t="n"/>
      <c r="O115" s="49" t="n"/>
      <c r="P115" s="50" t="n"/>
      <c r="Q115" s="49" t="n"/>
      <c r="R115" s="56">
        <f>IF(Q115="","",IFERROR(VLOOKUP(Q115,Lookups!$A$2:$B$8,2,FALSE),""))</f>
        <v/>
      </c>
      <c r="S115" s="53">
        <f>IF(B115="","",B115&amp;"|"&amp;TEXT(C115,"00"))</f>
        <v/>
      </c>
      <c r="T115" s="53">
        <f>IF(B115="","",B115&amp;"|"&amp;TEXT(C115-1,"00"))</f>
        <v/>
      </c>
      <c r="U115" s="53">
        <f>IFERROR(INDEX($Q:$Q,MATCH(T115,$S:$S,0)),"")</f>
        <v/>
      </c>
      <c r="V115" s="56">
        <f>IFERROR(INDEX($R:$R,MATCH(T115,$S:$S,0)),"")</f>
        <v/>
      </c>
      <c r="W115" s="56">
        <f>IF(U115="","",IF(Q115&lt;&gt;U115,1,0))</f>
        <v/>
      </c>
      <c r="X115" s="56">
        <f>IF(V115="","",IF(R115&lt;V115,1,0))</f>
        <v/>
      </c>
      <c r="Y115" s="56">
        <f>IF(V115="","",IF(R115&gt;V115,1,0))</f>
        <v/>
      </c>
      <c r="Z115" s="56">
        <f>IF(Q115="Pass",1,0)</f>
        <v/>
      </c>
      <c r="AA115" s="50" t="n"/>
      <c r="AB115" s="50" t="n"/>
      <c r="AC115" s="49" t="n"/>
      <c r="AD115" s="50" t="n"/>
      <c r="AE115" s="49" t="n"/>
    </row>
    <row r="116" ht="15.75" customHeight="1" s="40">
      <c r="A116" s="48" t="n"/>
      <c r="B116" s="48" t="n"/>
      <c r="C116" s="47" t="n"/>
      <c r="D116" s="48" t="n"/>
      <c r="E116" s="48" t="n"/>
      <c r="F116" s="48" t="n"/>
      <c r="G116" s="47" t="n"/>
      <c r="H116" s="50" t="n"/>
      <c r="I116" s="50" t="n"/>
      <c r="J116" s="50" t="n"/>
      <c r="K116" s="50" t="n"/>
      <c r="L116" s="49" t="n"/>
      <c r="M116" s="49" t="n"/>
      <c r="N116" s="49" t="n"/>
      <c r="O116" s="49" t="n"/>
      <c r="P116" s="50" t="n"/>
      <c r="Q116" s="49" t="n"/>
      <c r="R116" s="56">
        <f>IF(Q116="","",IFERROR(VLOOKUP(Q116,Lookups!$A$2:$B$8,2,FALSE),""))</f>
        <v/>
      </c>
      <c r="S116" s="53">
        <f>IF(B116="","",B116&amp;"|"&amp;TEXT(C116,"00"))</f>
        <v/>
      </c>
      <c r="T116" s="53">
        <f>IF(B116="","",B116&amp;"|"&amp;TEXT(C116-1,"00"))</f>
        <v/>
      </c>
      <c r="U116" s="53">
        <f>IFERROR(INDEX($Q:$Q,MATCH(T116,$S:$S,0)),"")</f>
        <v/>
      </c>
      <c r="V116" s="56">
        <f>IFERROR(INDEX($R:$R,MATCH(T116,$S:$S,0)),"")</f>
        <v/>
      </c>
      <c r="W116" s="56">
        <f>IF(U116="","",IF(Q116&lt;&gt;U116,1,0))</f>
        <v/>
      </c>
      <c r="X116" s="56">
        <f>IF(V116="","",IF(R116&lt;V116,1,0))</f>
        <v/>
      </c>
      <c r="Y116" s="56">
        <f>IF(V116="","",IF(R116&gt;V116,1,0))</f>
        <v/>
      </c>
      <c r="Z116" s="56">
        <f>IF(Q116="Pass",1,0)</f>
        <v/>
      </c>
      <c r="AA116" s="50" t="n"/>
      <c r="AB116" s="50" t="n"/>
      <c r="AC116" s="49" t="n"/>
      <c r="AD116" s="50" t="n"/>
      <c r="AE116" s="49" t="n"/>
    </row>
    <row r="117" ht="15.75" customHeight="1" s="40">
      <c r="A117" s="48" t="n"/>
      <c r="B117" s="48" t="n"/>
      <c r="C117" s="47" t="n"/>
      <c r="D117" s="48" t="n"/>
      <c r="E117" s="48" t="n"/>
      <c r="F117" s="48" t="n"/>
      <c r="G117" s="47" t="n"/>
      <c r="H117" s="50" t="n"/>
      <c r="I117" s="50" t="n"/>
      <c r="J117" s="50" t="n"/>
      <c r="K117" s="50" t="n"/>
      <c r="L117" s="49" t="n"/>
      <c r="M117" s="49" t="n"/>
      <c r="N117" s="49" t="n"/>
      <c r="O117" s="49" t="n"/>
      <c r="P117" s="50" t="n"/>
      <c r="Q117" s="49" t="n"/>
      <c r="R117" s="56">
        <f>IF(Q117="","",IFERROR(VLOOKUP(Q117,Lookups!$A$2:$B$8,2,FALSE),""))</f>
        <v/>
      </c>
      <c r="S117" s="53">
        <f>IF(B117="","",B117&amp;"|"&amp;TEXT(C117,"00"))</f>
        <v/>
      </c>
      <c r="T117" s="53">
        <f>IF(B117="","",B117&amp;"|"&amp;TEXT(C117-1,"00"))</f>
        <v/>
      </c>
      <c r="U117" s="53">
        <f>IFERROR(INDEX($Q:$Q,MATCH(T117,$S:$S,0)),"")</f>
        <v/>
      </c>
      <c r="V117" s="56">
        <f>IFERROR(INDEX($R:$R,MATCH(T117,$S:$S,0)),"")</f>
        <v/>
      </c>
      <c r="W117" s="56">
        <f>IF(U117="","",IF(Q117&lt;&gt;U117,1,0))</f>
        <v/>
      </c>
      <c r="X117" s="56">
        <f>IF(V117="","",IF(R117&lt;V117,1,0))</f>
        <v/>
      </c>
      <c r="Y117" s="56">
        <f>IF(V117="","",IF(R117&gt;V117,1,0))</f>
        <v/>
      </c>
      <c r="Z117" s="56">
        <f>IF(Q117="Pass",1,0)</f>
        <v/>
      </c>
      <c r="AA117" s="50" t="n"/>
      <c r="AB117" s="50" t="n"/>
      <c r="AC117" s="49" t="n"/>
      <c r="AD117" s="50" t="n"/>
      <c r="AE117" s="49" t="n"/>
    </row>
    <row r="118" ht="15.75" customHeight="1" s="40">
      <c r="A118" s="48" t="n"/>
      <c r="B118" s="48" t="n"/>
      <c r="C118" s="47" t="n"/>
      <c r="D118" s="48" t="n"/>
      <c r="E118" s="48" t="n"/>
      <c r="F118" s="48" t="n"/>
      <c r="G118" s="47" t="n"/>
      <c r="H118" s="50" t="n"/>
      <c r="I118" s="50" t="n"/>
      <c r="J118" s="50" t="n"/>
      <c r="K118" s="50" t="n"/>
      <c r="L118" s="49" t="n"/>
      <c r="M118" s="49" t="n"/>
      <c r="N118" s="49" t="n"/>
      <c r="O118" s="49" t="n"/>
      <c r="P118" s="50" t="n"/>
      <c r="Q118" s="49" t="n"/>
      <c r="R118" s="56">
        <f>IF(Q118="","",IFERROR(VLOOKUP(Q118,Lookups!$A$2:$B$8,2,FALSE),""))</f>
        <v/>
      </c>
      <c r="S118" s="53">
        <f>IF(B118="","",B118&amp;"|"&amp;TEXT(C118,"00"))</f>
        <v/>
      </c>
      <c r="T118" s="53">
        <f>IF(B118="","",B118&amp;"|"&amp;TEXT(C118-1,"00"))</f>
        <v/>
      </c>
      <c r="U118" s="53">
        <f>IFERROR(INDEX($Q:$Q,MATCH(T118,$S:$S,0)),"")</f>
        <v/>
      </c>
      <c r="V118" s="56">
        <f>IFERROR(INDEX($R:$R,MATCH(T118,$S:$S,0)),"")</f>
        <v/>
      </c>
      <c r="W118" s="56">
        <f>IF(U118="","",IF(Q118&lt;&gt;U118,1,0))</f>
        <v/>
      </c>
      <c r="X118" s="56">
        <f>IF(V118="","",IF(R118&lt;V118,1,0))</f>
        <v/>
      </c>
      <c r="Y118" s="56">
        <f>IF(V118="","",IF(R118&gt;V118,1,0))</f>
        <v/>
      </c>
      <c r="Z118" s="56">
        <f>IF(Q118="Pass",1,0)</f>
        <v/>
      </c>
      <c r="AA118" s="50" t="n"/>
      <c r="AB118" s="50" t="n"/>
      <c r="AC118" s="49" t="n"/>
      <c r="AD118" s="50" t="n"/>
      <c r="AE118" s="49" t="n"/>
    </row>
    <row r="119" ht="15.75" customHeight="1" s="40">
      <c r="A119" s="48" t="n"/>
      <c r="B119" s="48" t="n"/>
      <c r="C119" s="47" t="n"/>
      <c r="D119" s="48" t="n"/>
      <c r="E119" s="48" t="n"/>
      <c r="F119" s="48" t="n"/>
      <c r="G119" s="47" t="n"/>
      <c r="H119" s="50" t="n"/>
      <c r="I119" s="50" t="n"/>
      <c r="J119" s="50" t="n"/>
      <c r="K119" s="50" t="n"/>
      <c r="L119" s="49" t="n"/>
      <c r="M119" s="49" t="n"/>
      <c r="N119" s="49" t="n"/>
      <c r="O119" s="49" t="n"/>
      <c r="P119" s="50" t="n"/>
      <c r="Q119" s="49" t="n"/>
      <c r="R119" s="56">
        <f>IF(Q119="","",IFERROR(VLOOKUP(Q119,Lookups!$A$2:$B$8,2,FALSE),""))</f>
        <v/>
      </c>
      <c r="S119" s="53">
        <f>IF(B119="","",B119&amp;"|"&amp;TEXT(C119,"00"))</f>
        <v/>
      </c>
      <c r="T119" s="53">
        <f>IF(B119="","",B119&amp;"|"&amp;TEXT(C119-1,"00"))</f>
        <v/>
      </c>
      <c r="U119" s="53">
        <f>IFERROR(INDEX($Q:$Q,MATCH(T119,$S:$S,0)),"")</f>
        <v/>
      </c>
      <c r="V119" s="56">
        <f>IFERROR(INDEX($R:$R,MATCH(T119,$S:$S,0)),"")</f>
        <v/>
      </c>
      <c r="W119" s="56">
        <f>IF(U119="","",IF(Q119&lt;&gt;U119,1,0))</f>
        <v/>
      </c>
      <c r="X119" s="56">
        <f>IF(V119="","",IF(R119&lt;V119,1,0))</f>
        <v/>
      </c>
      <c r="Y119" s="56">
        <f>IF(V119="","",IF(R119&gt;V119,1,0))</f>
        <v/>
      </c>
      <c r="Z119" s="56">
        <f>IF(Q119="Pass",1,0)</f>
        <v/>
      </c>
      <c r="AA119" s="50" t="n"/>
      <c r="AB119" s="50" t="n"/>
      <c r="AC119" s="49" t="n"/>
      <c r="AD119" s="50" t="n"/>
      <c r="AE119" s="49" t="n"/>
    </row>
    <row r="120" ht="15.75" customHeight="1" s="40">
      <c r="A120" s="48" t="n"/>
      <c r="B120" s="48" t="n"/>
      <c r="C120" s="47" t="n"/>
      <c r="D120" s="48" t="n"/>
      <c r="E120" s="48" t="n"/>
      <c r="F120" s="48" t="n"/>
      <c r="G120" s="47" t="n"/>
      <c r="H120" s="50" t="n"/>
      <c r="I120" s="50" t="n"/>
      <c r="J120" s="50" t="n"/>
      <c r="K120" s="50" t="n"/>
      <c r="L120" s="49" t="n"/>
      <c r="M120" s="49" t="n"/>
      <c r="N120" s="49" t="n"/>
      <c r="O120" s="49" t="n"/>
      <c r="P120" s="50" t="n"/>
      <c r="Q120" s="49" t="n"/>
      <c r="R120" s="56">
        <f>IF(Q120="","",IFERROR(VLOOKUP(Q120,Lookups!$A$2:$B$8,2,FALSE),""))</f>
        <v/>
      </c>
      <c r="S120" s="53">
        <f>IF(B120="","",B120&amp;"|"&amp;TEXT(C120,"00"))</f>
        <v/>
      </c>
      <c r="T120" s="53">
        <f>IF(B120="","",B120&amp;"|"&amp;TEXT(C120-1,"00"))</f>
        <v/>
      </c>
      <c r="U120" s="53">
        <f>IFERROR(INDEX($Q:$Q,MATCH(T120,$S:$S,0)),"")</f>
        <v/>
      </c>
      <c r="V120" s="56">
        <f>IFERROR(INDEX($R:$R,MATCH(T120,$S:$S,0)),"")</f>
        <v/>
      </c>
      <c r="W120" s="56">
        <f>IF(U120="","",IF(Q120&lt;&gt;U120,1,0))</f>
        <v/>
      </c>
      <c r="X120" s="56">
        <f>IF(V120="","",IF(R120&lt;V120,1,0))</f>
        <v/>
      </c>
      <c r="Y120" s="56">
        <f>IF(V120="","",IF(R120&gt;V120,1,0))</f>
        <v/>
      </c>
      <c r="Z120" s="56">
        <f>IF(Q120="Pass",1,0)</f>
        <v/>
      </c>
      <c r="AA120" s="50" t="n"/>
      <c r="AB120" s="50" t="n"/>
      <c r="AC120" s="49" t="n"/>
      <c r="AD120" s="50" t="n"/>
      <c r="AE120" s="49" t="n"/>
    </row>
    <row r="121" ht="15.75" customHeight="1" s="40">
      <c r="A121" s="48" t="n"/>
      <c r="B121" s="48" t="n"/>
      <c r="C121" s="47" t="n"/>
      <c r="D121" s="48" t="n"/>
      <c r="E121" s="48" t="n"/>
      <c r="F121" s="48" t="n"/>
      <c r="G121" s="47" t="n"/>
      <c r="H121" s="50" t="n"/>
      <c r="I121" s="50" t="n"/>
      <c r="J121" s="50" t="n"/>
      <c r="K121" s="50" t="n"/>
      <c r="L121" s="49" t="n"/>
      <c r="M121" s="49" t="n"/>
      <c r="N121" s="49" t="n"/>
      <c r="O121" s="49" t="n"/>
      <c r="P121" s="50" t="n"/>
      <c r="Q121" s="49" t="n"/>
      <c r="R121" s="56">
        <f>IF(Q121="","",IFERROR(VLOOKUP(Q121,Lookups!$A$2:$B$8,2,FALSE),""))</f>
        <v/>
      </c>
      <c r="S121" s="53">
        <f>IF(B121="","",B121&amp;"|"&amp;TEXT(C121,"00"))</f>
        <v/>
      </c>
      <c r="T121" s="53">
        <f>IF(B121="","",B121&amp;"|"&amp;TEXT(C121-1,"00"))</f>
        <v/>
      </c>
      <c r="U121" s="53">
        <f>IFERROR(INDEX($Q:$Q,MATCH(T121,$S:$S,0)),"")</f>
        <v/>
      </c>
      <c r="V121" s="56">
        <f>IFERROR(INDEX($R:$R,MATCH(T121,$S:$S,0)),"")</f>
        <v/>
      </c>
      <c r="W121" s="56">
        <f>IF(U121="","",IF(Q121&lt;&gt;U121,1,0))</f>
        <v/>
      </c>
      <c r="X121" s="56">
        <f>IF(V121="","",IF(R121&lt;V121,1,0))</f>
        <v/>
      </c>
      <c r="Y121" s="56">
        <f>IF(V121="","",IF(R121&gt;V121,1,0))</f>
        <v/>
      </c>
      <c r="Z121" s="56">
        <f>IF(Q121="Pass",1,0)</f>
        <v/>
      </c>
      <c r="AA121" s="50" t="n"/>
      <c r="AB121" s="50" t="n"/>
      <c r="AC121" s="49" t="n"/>
      <c r="AD121" s="50" t="n"/>
      <c r="AE121" s="49" t="n"/>
    </row>
    <row r="122" ht="15.75" customHeight="1" s="40">
      <c r="A122" s="48" t="n"/>
      <c r="B122" s="48" t="n"/>
      <c r="C122" s="47" t="n"/>
      <c r="D122" s="48" t="n"/>
      <c r="E122" s="48" t="n"/>
      <c r="F122" s="48" t="n"/>
      <c r="G122" s="47" t="n"/>
      <c r="H122" s="50" t="n"/>
      <c r="I122" s="50" t="n"/>
      <c r="J122" s="50" t="n"/>
      <c r="K122" s="50" t="n"/>
      <c r="L122" s="49" t="n"/>
      <c r="M122" s="49" t="n"/>
      <c r="N122" s="49" t="n"/>
      <c r="O122" s="49" t="n"/>
      <c r="P122" s="50" t="n"/>
      <c r="Q122" s="49" t="n"/>
      <c r="R122" s="56">
        <f>IF(Q122="","",IFERROR(VLOOKUP(Q122,Lookups!$A$2:$B$8,2,FALSE),""))</f>
        <v/>
      </c>
      <c r="S122" s="53">
        <f>IF(B122="","",B122&amp;"|"&amp;TEXT(C122,"00"))</f>
        <v/>
      </c>
      <c r="T122" s="53">
        <f>IF(B122="","",B122&amp;"|"&amp;TEXT(C122-1,"00"))</f>
        <v/>
      </c>
      <c r="U122" s="53">
        <f>IFERROR(INDEX($Q:$Q,MATCH(T122,$S:$S,0)),"")</f>
        <v/>
      </c>
      <c r="V122" s="56">
        <f>IFERROR(INDEX($R:$R,MATCH(T122,$S:$S,0)),"")</f>
        <v/>
      </c>
      <c r="W122" s="56">
        <f>IF(U122="","",IF(Q122&lt;&gt;U122,1,0))</f>
        <v/>
      </c>
      <c r="X122" s="56">
        <f>IF(V122="","",IF(R122&lt;V122,1,0))</f>
        <v/>
      </c>
      <c r="Y122" s="56">
        <f>IF(V122="","",IF(R122&gt;V122,1,0))</f>
        <v/>
      </c>
      <c r="Z122" s="56">
        <f>IF(Q122="Pass",1,0)</f>
        <v/>
      </c>
      <c r="AA122" s="50" t="n"/>
      <c r="AB122" s="50" t="n"/>
      <c r="AC122" s="49" t="n"/>
      <c r="AD122" s="50" t="n"/>
      <c r="AE122" s="49" t="n"/>
    </row>
    <row r="123" ht="15.75" customHeight="1" s="40">
      <c r="A123" s="48" t="n"/>
      <c r="B123" s="48" t="n"/>
      <c r="C123" s="47" t="n"/>
      <c r="D123" s="48" t="n"/>
      <c r="E123" s="48" t="n"/>
      <c r="F123" s="48" t="n"/>
      <c r="G123" s="47" t="n"/>
      <c r="H123" s="50" t="n"/>
      <c r="I123" s="50" t="n"/>
      <c r="J123" s="50" t="n"/>
      <c r="K123" s="50" t="n"/>
      <c r="L123" s="49" t="n"/>
      <c r="M123" s="49" t="n"/>
      <c r="N123" s="49" t="n"/>
      <c r="O123" s="49" t="n"/>
      <c r="P123" s="50" t="n"/>
      <c r="Q123" s="49" t="n"/>
      <c r="R123" s="56">
        <f>IF(Q123="","",IFERROR(VLOOKUP(Q123,Lookups!$A$2:$B$8,2,FALSE),""))</f>
        <v/>
      </c>
      <c r="S123" s="53">
        <f>IF(B123="","",B123&amp;"|"&amp;TEXT(C123,"00"))</f>
        <v/>
      </c>
      <c r="T123" s="53">
        <f>IF(B123="","",B123&amp;"|"&amp;TEXT(C123-1,"00"))</f>
        <v/>
      </c>
      <c r="U123" s="53">
        <f>IFERROR(INDEX($Q:$Q,MATCH(T123,$S:$S,0)),"")</f>
        <v/>
      </c>
      <c r="V123" s="56">
        <f>IFERROR(INDEX($R:$R,MATCH(T123,$S:$S,0)),"")</f>
        <v/>
      </c>
      <c r="W123" s="56">
        <f>IF(U123="","",IF(Q123&lt;&gt;U123,1,0))</f>
        <v/>
      </c>
      <c r="X123" s="56">
        <f>IF(V123="","",IF(R123&lt;V123,1,0))</f>
        <v/>
      </c>
      <c r="Y123" s="56">
        <f>IF(V123="","",IF(R123&gt;V123,1,0))</f>
        <v/>
      </c>
      <c r="Z123" s="56">
        <f>IF(Q123="Pass",1,0)</f>
        <v/>
      </c>
      <c r="AA123" s="50" t="n"/>
      <c r="AB123" s="50" t="n"/>
      <c r="AC123" s="49" t="n"/>
      <c r="AD123" s="50" t="n"/>
      <c r="AE123" s="49" t="n"/>
    </row>
    <row r="124" ht="15.75" customHeight="1" s="40">
      <c r="A124" s="48" t="n"/>
      <c r="B124" s="48" t="n"/>
      <c r="C124" s="47" t="n"/>
      <c r="D124" s="48" t="n"/>
      <c r="E124" s="48" t="n"/>
      <c r="F124" s="48" t="n"/>
      <c r="G124" s="47" t="n"/>
      <c r="H124" s="50" t="n"/>
      <c r="I124" s="50" t="n"/>
      <c r="J124" s="50" t="n"/>
      <c r="K124" s="50" t="n"/>
      <c r="L124" s="49" t="n"/>
      <c r="M124" s="49" t="n"/>
      <c r="N124" s="49" t="n"/>
      <c r="O124" s="49" t="n"/>
      <c r="P124" s="50" t="n"/>
      <c r="Q124" s="49" t="n"/>
      <c r="R124" s="56">
        <f>IF(Q124="","",IFERROR(VLOOKUP(Q124,Lookups!$A$2:$B$8,2,FALSE),""))</f>
        <v/>
      </c>
      <c r="S124" s="53">
        <f>IF(B124="","",B124&amp;"|"&amp;TEXT(C124,"00"))</f>
        <v/>
      </c>
      <c r="T124" s="53">
        <f>IF(B124="","",B124&amp;"|"&amp;TEXT(C124-1,"00"))</f>
        <v/>
      </c>
      <c r="U124" s="53">
        <f>IFERROR(INDEX($Q:$Q,MATCH(T124,$S:$S,0)),"")</f>
        <v/>
      </c>
      <c r="V124" s="56">
        <f>IFERROR(INDEX($R:$R,MATCH(T124,$S:$S,0)),"")</f>
        <v/>
      </c>
      <c r="W124" s="56">
        <f>IF(U124="","",IF(Q124&lt;&gt;U124,1,0))</f>
        <v/>
      </c>
      <c r="X124" s="56">
        <f>IF(V124="","",IF(R124&lt;V124,1,0))</f>
        <v/>
      </c>
      <c r="Y124" s="56">
        <f>IF(V124="","",IF(R124&gt;V124,1,0))</f>
        <v/>
      </c>
      <c r="Z124" s="56">
        <f>IF(Q124="Pass",1,0)</f>
        <v/>
      </c>
      <c r="AA124" s="50" t="n"/>
      <c r="AB124" s="50" t="n"/>
      <c r="AC124" s="49" t="n"/>
      <c r="AD124" s="50" t="n"/>
      <c r="AE124" s="49" t="n"/>
    </row>
    <row r="125" ht="15.75" customHeight="1" s="40">
      <c r="A125" s="48" t="n"/>
      <c r="B125" s="48" t="n"/>
      <c r="C125" s="47" t="n"/>
      <c r="D125" s="48" t="n"/>
      <c r="E125" s="48" t="n"/>
      <c r="F125" s="48" t="n"/>
      <c r="G125" s="47" t="n"/>
      <c r="H125" s="50" t="n"/>
      <c r="I125" s="50" t="n"/>
      <c r="J125" s="50" t="n"/>
      <c r="K125" s="50" t="n"/>
      <c r="L125" s="49" t="n"/>
      <c r="M125" s="49" t="n"/>
      <c r="N125" s="49" t="n"/>
      <c r="O125" s="49" t="n"/>
      <c r="P125" s="50" t="n"/>
      <c r="Q125" s="49" t="n"/>
      <c r="R125" s="56">
        <f>IF(Q125="","",IFERROR(VLOOKUP(Q125,Lookups!$A$2:$B$8,2,FALSE),""))</f>
        <v/>
      </c>
      <c r="S125" s="53">
        <f>IF(B125="","",B125&amp;"|"&amp;TEXT(C125,"00"))</f>
        <v/>
      </c>
      <c r="T125" s="53">
        <f>IF(B125="","",B125&amp;"|"&amp;TEXT(C125-1,"00"))</f>
        <v/>
      </c>
      <c r="U125" s="53">
        <f>IFERROR(INDEX($Q:$Q,MATCH(T125,$S:$S,0)),"")</f>
        <v/>
      </c>
      <c r="V125" s="56">
        <f>IFERROR(INDEX($R:$R,MATCH(T125,$S:$S,0)),"")</f>
        <v/>
      </c>
      <c r="W125" s="56">
        <f>IF(U125="","",IF(Q125&lt;&gt;U125,1,0))</f>
        <v/>
      </c>
      <c r="X125" s="56">
        <f>IF(V125="","",IF(R125&lt;V125,1,0))</f>
        <v/>
      </c>
      <c r="Y125" s="56">
        <f>IF(V125="","",IF(R125&gt;V125,1,0))</f>
        <v/>
      </c>
      <c r="Z125" s="56">
        <f>IF(Q125="Pass",1,0)</f>
        <v/>
      </c>
      <c r="AA125" s="50" t="n"/>
      <c r="AB125" s="50" t="n"/>
      <c r="AC125" s="49" t="n"/>
      <c r="AD125" s="50" t="n"/>
      <c r="AE125" s="49" t="n"/>
    </row>
    <row r="126" ht="15.75" customHeight="1" s="40">
      <c r="A126" s="48" t="n"/>
      <c r="B126" s="48" t="n"/>
      <c r="C126" s="47" t="n"/>
      <c r="D126" s="48" t="n"/>
      <c r="E126" s="48" t="n"/>
      <c r="F126" s="48" t="n"/>
      <c r="G126" s="47" t="n"/>
      <c r="H126" s="50" t="n"/>
      <c r="I126" s="50" t="n"/>
      <c r="J126" s="50" t="n"/>
      <c r="K126" s="50" t="n"/>
      <c r="L126" s="49" t="n"/>
      <c r="M126" s="49" t="n"/>
      <c r="N126" s="49" t="n"/>
      <c r="O126" s="49" t="n"/>
      <c r="P126" s="50" t="n"/>
      <c r="Q126" s="49" t="n"/>
      <c r="R126" s="56">
        <f>IF(Q126="","",IFERROR(VLOOKUP(Q126,Lookups!$A$2:$B$8,2,FALSE),""))</f>
        <v/>
      </c>
      <c r="S126" s="53">
        <f>IF(B126="","",B126&amp;"|"&amp;TEXT(C126,"00"))</f>
        <v/>
      </c>
      <c r="T126" s="53">
        <f>IF(B126="","",B126&amp;"|"&amp;TEXT(C126-1,"00"))</f>
        <v/>
      </c>
      <c r="U126" s="53">
        <f>IFERROR(INDEX($Q:$Q,MATCH(T126,$S:$S,0)),"")</f>
        <v/>
      </c>
      <c r="V126" s="56">
        <f>IFERROR(INDEX($R:$R,MATCH(T126,$S:$S,0)),"")</f>
        <v/>
      </c>
      <c r="W126" s="56">
        <f>IF(U126="","",IF(Q126&lt;&gt;U126,1,0))</f>
        <v/>
      </c>
      <c r="X126" s="56">
        <f>IF(V126="","",IF(R126&lt;V126,1,0))</f>
        <v/>
      </c>
      <c r="Y126" s="56">
        <f>IF(V126="","",IF(R126&gt;V126,1,0))</f>
        <v/>
      </c>
      <c r="Z126" s="56">
        <f>IF(Q126="Pass",1,0)</f>
        <v/>
      </c>
      <c r="AA126" s="50" t="n"/>
      <c r="AB126" s="50" t="n"/>
      <c r="AC126" s="49" t="n"/>
      <c r="AD126" s="50" t="n"/>
      <c r="AE126" s="49" t="n"/>
    </row>
    <row r="127" ht="15.75" customHeight="1" s="40">
      <c r="A127" s="48" t="n"/>
      <c r="B127" s="48" t="n"/>
      <c r="C127" s="47" t="n"/>
      <c r="D127" s="48" t="n"/>
      <c r="E127" s="48" t="n"/>
      <c r="F127" s="48" t="n"/>
      <c r="G127" s="47" t="n"/>
      <c r="H127" s="50" t="n"/>
      <c r="I127" s="50" t="n"/>
      <c r="J127" s="50" t="n"/>
      <c r="K127" s="50" t="n"/>
      <c r="L127" s="49" t="n"/>
      <c r="M127" s="49" t="n"/>
      <c r="N127" s="49" t="n"/>
      <c r="O127" s="49" t="n"/>
      <c r="P127" s="50" t="n"/>
      <c r="Q127" s="49" t="n"/>
      <c r="R127" s="56">
        <f>IF(Q127="","",IFERROR(VLOOKUP(Q127,Lookups!$A$2:$B$8,2,FALSE),""))</f>
        <v/>
      </c>
      <c r="S127" s="53">
        <f>IF(B127="","",B127&amp;"|"&amp;TEXT(C127,"00"))</f>
        <v/>
      </c>
      <c r="T127" s="53">
        <f>IF(B127="","",B127&amp;"|"&amp;TEXT(C127-1,"00"))</f>
        <v/>
      </c>
      <c r="U127" s="53">
        <f>IFERROR(INDEX($Q:$Q,MATCH(T127,$S:$S,0)),"")</f>
        <v/>
      </c>
      <c r="V127" s="56">
        <f>IFERROR(INDEX($R:$R,MATCH(T127,$S:$S,0)),"")</f>
        <v/>
      </c>
      <c r="W127" s="56">
        <f>IF(U127="","",IF(Q127&lt;&gt;U127,1,0))</f>
        <v/>
      </c>
      <c r="X127" s="56">
        <f>IF(V127="","",IF(R127&lt;V127,1,0))</f>
        <v/>
      </c>
      <c r="Y127" s="56">
        <f>IF(V127="","",IF(R127&gt;V127,1,0))</f>
        <v/>
      </c>
      <c r="Z127" s="56">
        <f>IF(Q127="Pass",1,0)</f>
        <v/>
      </c>
      <c r="AA127" s="50" t="n"/>
      <c r="AB127" s="50" t="n"/>
      <c r="AC127" s="49" t="n"/>
      <c r="AD127" s="50" t="n"/>
      <c r="AE127" s="49" t="n"/>
    </row>
    <row r="128" ht="15.75" customHeight="1" s="40">
      <c r="A128" s="48" t="n"/>
      <c r="B128" s="48" t="n"/>
      <c r="C128" s="47" t="n"/>
      <c r="D128" s="48" t="n"/>
      <c r="E128" s="48" t="n"/>
      <c r="F128" s="48" t="n"/>
      <c r="G128" s="47" t="n"/>
      <c r="H128" s="50" t="n"/>
      <c r="I128" s="50" t="n"/>
      <c r="J128" s="50" t="n"/>
      <c r="K128" s="50" t="n"/>
      <c r="L128" s="49" t="n"/>
      <c r="M128" s="49" t="n"/>
      <c r="N128" s="49" t="n"/>
      <c r="O128" s="49" t="n"/>
      <c r="P128" s="50" t="n"/>
      <c r="Q128" s="49" t="n"/>
      <c r="R128" s="56">
        <f>IF(Q128="","",IFERROR(VLOOKUP(Q128,Lookups!$A$2:$B$8,2,FALSE),""))</f>
        <v/>
      </c>
      <c r="S128" s="53">
        <f>IF(B128="","",B128&amp;"|"&amp;TEXT(C128,"00"))</f>
        <v/>
      </c>
      <c r="T128" s="53">
        <f>IF(B128="","",B128&amp;"|"&amp;TEXT(C128-1,"00"))</f>
        <v/>
      </c>
      <c r="U128" s="53">
        <f>IFERROR(INDEX($Q:$Q,MATCH(T128,$S:$S,0)),"")</f>
        <v/>
      </c>
      <c r="V128" s="56">
        <f>IFERROR(INDEX($R:$R,MATCH(T128,$S:$S,0)),"")</f>
        <v/>
      </c>
      <c r="W128" s="56">
        <f>IF(U128="","",IF(Q128&lt;&gt;U128,1,0))</f>
        <v/>
      </c>
      <c r="X128" s="56">
        <f>IF(V128="","",IF(R128&lt;V128,1,0))</f>
        <v/>
      </c>
      <c r="Y128" s="56">
        <f>IF(V128="","",IF(R128&gt;V128,1,0))</f>
        <v/>
      </c>
      <c r="Z128" s="56">
        <f>IF(Q128="Pass",1,0)</f>
        <v/>
      </c>
      <c r="AA128" s="50" t="n"/>
      <c r="AB128" s="50" t="n"/>
      <c r="AC128" s="49" t="n"/>
      <c r="AD128" s="50" t="n"/>
      <c r="AE128" s="49" t="n"/>
    </row>
    <row r="129" ht="15.75" customHeight="1" s="40">
      <c r="A129" s="48" t="n"/>
      <c r="B129" s="48" t="n"/>
      <c r="C129" s="47" t="n"/>
      <c r="D129" s="48" t="n"/>
      <c r="E129" s="48" t="n"/>
      <c r="F129" s="48" t="n"/>
      <c r="G129" s="47" t="n"/>
      <c r="H129" s="50" t="n"/>
      <c r="I129" s="50" t="n"/>
      <c r="J129" s="50" t="n"/>
      <c r="K129" s="50" t="n"/>
      <c r="L129" s="49" t="n"/>
      <c r="M129" s="49" t="n"/>
      <c r="N129" s="49" t="n"/>
      <c r="O129" s="49" t="n"/>
      <c r="P129" s="50" t="n"/>
      <c r="Q129" s="49" t="n"/>
      <c r="R129" s="56">
        <f>IF(Q129="","",IFERROR(VLOOKUP(Q129,Lookups!$A$2:$B$8,2,FALSE),""))</f>
        <v/>
      </c>
      <c r="S129" s="53">
        <f>IF(B129="","",B129&amp;"|"&amp;TEXT(C129,"00"))</f>
        <v/>
      </c>
      <c r="T129" s="53">
        <f>IF(B129="","",B129&amp;"|"&amp;TEXT(C129-1,"00"))</f>
        <v/>
      </c>
      <c r="U129" s="53">
        <f>IFERROR(INDEX($Q:$Q,MATCH(T129,$S:$S,0)),"")</f>
        <v/>
      </c>
      <c r="V129" s="56">
        <f>IFERROR(INDEX($R:$R,MATCH(T129,$S:$S,0)),"")</f>
        <v/>
      </c>
      <c r="W129" s="56">
        <f>IF(U129="","",IF(Q129&lt;&gt;U129,1,0))</f>
        <v/>
      </c>
      <c r="X129" s="56">
        <f>IF(V129="","",IF(R129&lt;V129,1,0))</f>
        <v/>
      </c>
      <c r="Y129" s="56">
        <f>IF(V129="","",IF(R129&gt;V129,1,0))</f>
        <v/>
      </c>
      <c r="Z129" s="56">
        <f>IF(Q129="Pass",1,0)</f>
        <v/>
      </c>
      <c r="AA129" s="50" t="n"/>
      <c r="AB129" s="50" t="n"/>
      <c r="AC129" s="49" t="n"/>
      <c r="AD129" s="50" t="n"/>
      <c r="AE129" s="49" t="n"/>
    </row>
    <row r="130" ht="15.75" customHeight="1" s="40">
      <c r="A130" s="48" t="n"/>
      <c r="B130" s="48" t="n"/>
      <c r="C130" s="47" t="n"/>
      <c r="D130" s="48" t="n"/>
      <c r="E130" s="48" t="n"/>
      <c r="F130" s="48" t="n"/>
      <c r="G130" s="47" t="n"/>
      <c r="H130" s="50" t="n"/>
      <c r="I130" s="50" t="n"/>
      <c r="J130" s="50" t="n"/>
      <c r="K130" s="50" t="n"/>
      <c r="L130" s="49" t="n"/>
      <c r="M130" s="49" t="n"/>
      <c r="N130" s="49" t="n"/>
      <c r="O130" s="49" t="n"/>
      <c r="P130" s="50" t="n"/>
      <c r="Q130" s="49" t="n"/>
      <c r="R130" s="56">
        <f>IF(Q130="","",IFERROR(VLOOKUP(Q130,Lookups!$A$2:$B$8,2,FALSE),""))</f>
        <v/>
      </c>
      <c r="S130" s="53">
        <f>IF(B130="","",B130&amp;"|"&amp;TEXT(C130,"00"))</f>
        <v/>
      </c>
      <c r="T130" s="53">
        <f>IF(B130="","",B130&amp;"|"&amp;TEXT(C130-1,"00"))</f>
        <v/>
      </c>
      <c r="U130" s="53">
        <f>IFERROR(INDEX($Q:$Q,MATCH(T130,$S:$S,0)),"")</f>
        <v/>
      </c>
      <c r="V130" s="56">
        <f>IFERROR(INDEX($R:$R,MATCH(T130,$S:$S,0)),"")</f>
        <v/>
      </c>
      <c r="W130" s="56">
        <f>IF(U130="","",IF(Q130&lt;&gt;U130,1,0))</f>
        <v/>
      </c>
      <c r="X130" s="56">
        <f>IF(V130="","",IF(R130&lt;V130,1,0))</f>
        <v/>
      </c>
      <c r="Y130" s="56">
        <f>IF(V130="","",IF(R130&gt;V130,1,0))</f>
        <v/>
      </c>
      <c r="Z130" s="56">
        <f>IF(Q130="Pass",1,0)</f>
        <v/>
      </c>
      <c r="AA130" s="50" t="n"/>
      <c r="AB130" s="50" t="n"/>
      <c r="AC130" s="49" t="n"/>
      <c r="AD130" s="50" t="n"/>
      <c r="AE130" s="49" t="n"/>
    </row>
    <row r="131" ht="15.75" customHeight="1" s="40">
      <c r="A131" s="48" t="n"/>
      <c r="B131" s="48" t="n"/>
      <c r="C131" s="47" t="n"/>
      <c r="D131" s="48" t="n"/>
      <c r="E131" s="48" t="n"/>
      <c r="F131" s="48" t="n"/>
      <c r="G131" s="47" t="n"/>
      <c r="H131" s="50" t="n"/>
      <c r="I131" s="50" t="n"/>
      <c r="J131" s="50" t="n"/>
      <c r="K131" s="50" t="n"/>
      <c r="L131" s="49" t="n"/>
      <c r="M131" s="49" t="n"/>
      <c r="N131" s="49" t="n"/>
      <c r="O131" s="49" t="n"/>
      <c r="P131" s="50" t="n"/>
      <c r="Q131" s="49" t="n"/>
      <c r="R131" s="56">
        <f>IF(Q131="","",IFERROR(VLOOKUP(Q131,Lookups!$A$2:$B$8,2,FALSE),""))</f>
        <v/>
      </c>
      <c r="S131" s="53">
        <f>IF(B131="","",B131&amp;"|"&amp;TEXT(C131,"00"))</f>
        <v/>
      </c>
      <c r="T131" s="53">
        <f>IF(B131="","",B131&amp;"|"&amp;TEXT(C131-1,"00"))</f>
        <v/>
      </c>
      <c r="U131" s="53">
        <f>IFERROR(INDEX($Q:$Q,MATCH(T131,$S:$S,0)),"")</f>
        <v/>
      </c>
      <c r="V131" s="56">
        <f>IFERROR(INDEX($R:$R,MATCH(T131,$S:$S,0)),"")</f>
        <v/>
      </c>
      <c r="W131" s="56">
        <f>IF(U131="","",IF(Q131&lt;&gt;U131,1,0))</f>
        <v/>
      </c>
      <c r="X131" s="56">
        <f>IF(V131="","",IF(R131&lt;V131,1,0))</f>
        <v/>
      </c>
      <c r="Y131" s="56">
        <f>IF(V131="","",IF(R131&gt;V131,1,0))</f>
        <v/>
      </c>
      <c r="Z131" s="56">
        <f>IF(Q131="Pass",1,0)</f>
        <v/>
      </c>
      <c r="AA131" s="50" t="n"/>
      <c r="AB131" s="50" t="n"/>
      <c r="AC131" s="49" t="n"/>
      <c r="AD131" s="50" t="n"/>
      <c r="AE131" s="49" t="n"/>
    </row>
    <row r="132" ht="15.75" customHeight="1" s="40">
      <c r="A132" s="48" t="n"/>
      <c r="B132" s="48" t="n"/>
      <c r="C132" s="47" t="n"/>
      <c r="D132" s="48" t="n"/>
      <c r="E132" s="48" t="n"/>
      <c r="F132" s="48" t="n"/>
      <c r="G132" s="47" t="n"/>
      <c r="H132" s="50" t="n"/>
      <c r="I132" s="50" t="n"/>
      <c r="J132" s="50" t="n"/>
      <c r="K132" s="50" t="n"/>
      <c r="L132" s="49" t="n"/>
      <c r="M132" s="49" t="n"/>
      <c r="N132" s="49" t="n"/>
      <c r="O132" s="49" t="n"/>
      <c r="P132" s="50" t="n"/>
      <c r="Q132" s="49" t="n"/>
      <c r="R132" s="56">
        <f>IF(Q132="","",IFERROR(VLOOKUP(Q132,Lookups!$A$2:$B$8,2,FALSE),""))</f>
        <v/>
      </c>
      <c r="S132" s="53">
        <f>IF(B132="","",B132&amp;"|"&amp;TEXT(C132,"00"))</f>
        <v/>
      </c>
      <c r="T132" s="53">
        <f>IF(B132="","",B132&amp;"|"&amp;TEXT(C132-1,"00"))</f>
        <v/>
      </c>
      <c r="U132" s="53">
        <f>IFERROR(INDEX($Q:$Q,MATCH(T132,$S:$S,0)),"")</f>
        <v/>
      </c>
      <c r="V132" s="56">
        <f>IFERROR(INDEX($R:$R,MATCH(T132,$S:$S,0)),"")</f>
        <v/>
      </c>
      <c r="W132" s="56">
        <f>IF(U132="","",IF(Q132&lt;&gt;U132,1,0))</f>
        <v/>
      </c>
      <c r="X132" s="56">
        <f>IF(V132="","",IF(R132&lt;V132,1,0))</f>
        <v/>
      </c>
      <c r="Y132" s="56">
        <f>IF(V132="","",IF(R132&gt;V132,1,0))</f>
        <v/>
      </c>
      <c r="Z132" s="56">
        <f>IF(Q132="Pass",1,0)</f>
        <v/>
      </c>
      <c r="AA132" s="50" t="n"/>
      <c r="AB132" s="50" t="n"/>
      <c r="AC132" s="49" t="n"/>
      <c r="AD132" s="50" t="n"/>
      <c r="AE132" s="49" t="n"/>
    </row>
    <row r="133" ht="15.75" customHeight="1" s="40">
      <c r="A133" s="48" t="n"/>
      <c r="B133" s="48" t="n"/>
      <c r="C133" s="47" t="n"/>
      <c r="D133" s="48" t="n"/>
      <c r="E133" s="48" t="n"/>
      <c r="F133" s="48" t="n"/>
      <c r="G133" s="47" t="n"/>
      <c r="H133" s="50" t="n"/>
      <c r="I133" s="50" t="n"/>
      <c r="J133" s="50" t="n"/>
      <c r="K133" s="50" t="n"/>
      <c r="L133" s="49" t="n"/>
      <c r="M133" s="49" t="n"/>
      <c r="N133" s="49" t="n"/>
      <c r="O133" s="49" t="n"/>
      <c r="P133" s="50" t="n"/>
      <c r="Q133" s="49" t="n"/>
      <c r="R133" s="56">
        <f>IF(Q133="","",IFERROR(VLOOKUP(Q133,Lookups!$A$2:$B$8,2,FALSE),""))</f>
        <v/>
      </c>
      <c r="S133" s="53">
        <f>IF(B133="","",B133&amp;"|"&amp;TEXT(C133,"00"))</f>
        <v/>
      </c>
      <c r="T133" s="53">
        <f>IF(B133="","",B133&amp;"|"&amp;TEXT(C133-1,"00"))</f>
        <v/>
      </c>
      <c r="U133" s="53">
        <f>IFERROR(INDEX($Q:$Q,MATCH(T133,$S:$S,0)),"")</f>
        <v/>
      </c>
      <c r="V133" s="56">
        <f>IFERROR(INDEX($R:$R,MATCH(T133,$S:$S,0)),"")</f>
        <v/>
      </c>
      <c r="W133" s="56">
        <f>IF(U133="","",IF(Q133&lt;&gt;U133,1,0))</f>
        <v/>
      </c>
      <c r="X133" s="56">
        <f>IF(V133="","",IF(R133&lt;V133,1,0))</f>
        <v/>
      </c>
      <c r="Y133" s="56">
        <f>IF(V133="","",IF(R133&gt;V133,1,0))</f>
        <v/>
      </c>
      <c r="Z133" s="56">
        <f>IF(Q133="Pass",1,0)</f>
        <v/>
      </c>
      <c r="AA133" s="50" t="n"/>
      <c r="AB133" s="50" t="n"/>
      <c r="AC133" s="49" t="n"/>
      <c r="AD133" s="50" t="n"/>
      <c r="AE133" s="49" t="n"/>
    </row>
    <row r="134" ht="15.75" customHeight="1" s="40">
      <c r="A134" s="48" t="n"/>
      <c r="B134" s="48" t="n"/>
      <c r="C134" s="47" t="n"/>
      <c r="D134" s="48" t="n"/>
      <c r="E134" s="48" t="n"/>
      <c r="F134" s="48" t="n"/>
      <c r="G134" s="47" t="n"/>
      <c r="H134" s="50" t="n"/>
      <c r="I134" s="50" t="n"/>
      <c r="J134" s="50" t="n"/>
      <c r="K134" s="50" t="n"/>
      <c r="L134" s="49" t="n"/>
      <c r="M134" s="49" t="n"/>
      <c r="N134" s="49" t="n"/>
      <c r="O134" s="49" t="n"/>
      <c r="P134" s="50" t="n"/>
      <c r="Q134" s="49" t="n"/>
      <c r="R134" s="56">
        <f>IF(Q134="","",IFERROR(VLOOKUP(Q134,Lookups!$A$2:$B$8,2,FALSE),""))</f>
        <v/>
      </c>
      <c r="S134" s="53">
        <f>IF(B134="","",B134&amp;"|"&amp;TEXT(C134,"00"))</f>
        <v/>
      </c>
      <c r="T134" s="53">
        <f>IF(B134="","",B134&amp;"|"&amp;TEXT(C134-1,"00"))</f>
        <v/>
      </c>
      <c r="U134" s="53">
        <f>IFERROR(INDEX($Q:$Q,MATCH(T134,$S:$S,0)),"")</f>
        <v/>
      </c>
      <c r="V134" s="56">
        <f>IFERROR(INDEX($R:$R,MATCH(T134,$S:$S,0)),"")</f>
        <v/>
      </c>
      <c r="W134" s="56">
        <f>IF(U134="","",IF(Q134&lt;&gt;U134,1,0))</f>
        <v/>
      </c>
      <c r="X134" s="56">
        <f>IF(V134="","",IF(R134&lt;V134,1,0))</f>
        <v/>
      </c>
      <c r="Y134" s="56">
        <f>IF(V134="","",IF(R134&gt;V134,1,0))</f>
        <v/>
      </c>
      <c r="Z134" s="56">
        <f>IF(Q134="Pass",1,0)</f>
        <v/>
      </c>
      <c r="AA134" s="50" t="n"/>
      <c r="AB134" s="50" t="n"/>
      <c r="AC134" s="49" t="n"/>
      <c r="AD134" s="50" t="n"/>
      <c r="AE134" s="49" t="n"/>
    </row>
    <row r="135" ht="15.75" customHeight="1" s="40">
      <c r="A135" s="48" t="n"/>
      <c r="B135" s="48" t="n"/>
      <c r="C135" s="47" t="n"/>
      <c r="D135" s="48" t="n"/>
      <c r="E135" s="48" t="n"/>
      <c r="F135" s="48" t="n"/>
      <c r="G135" s="47" t="n"/>
      <c r="H135" s="50" t="n"/>
      <c r="I135" s="50" t="n"/>
      <c r="J135" s="50" t="n"/>
      <c r="K135" s="50" t="n"/>
      <c r="L135" s="49" t="n"/>
      <c r="M135" s="49" t="n"/>
      <c r="N135" s="49" t="n"/>
      <c r="O135" s="49" t="n"/>
      <c r="P135" s="50" t="n"/>
      <c r="Q135" s="49" t="n"/>
      <c r="R135" s="56">
        <f>IF(Q135="","",IFERROR(VLOOKUP(Q135,Lookups!$A$2:$B$8,2,FALSE),""))</f>
        <v/>
      </c>
      <c r="S135" s="53">
        <f>IF(B135="","",B135&amp;"|"&amp;TEXT(C135,"00"))</f>
        <v/>
      </c>
      <c r="T135" s="53">
        <f>IF(B135="","",B135&amp;"|"&amp;TEXT(C135-1,"00"))</f>
        <v/>
      </c>
      <c r="U135" s="53">
        <f>IFERROR(INDEX($Q:$Q,MATCH(T135,$S:$S,0)),"")</f>
        <v/>
      </c>
      <c r="V135" s="56">
        <f>IFERROR(INDEX($R:$R,MATCH(T135,$S:$S,0)),"")</f>
        <v/>
      </c>
      <c r="W135" s="56">
        <f>IF(U135="","",IF(Q135&lt;&gt;U135,1,0))</f>
        <v/>
      </c>
      <c r="X135" s="56">
        <f>IF(V135="","",IF(R135&lt;V135,1,0))</f>
        <v/>
      </c>
      <c r="Y135" s="56">
        <f>IF(V135="","",IF(R135&gt;V135,1,0))</f>
        <v/>
      </c>
      <c r="Z135" s="56">
        <f>IF(Q135="Pass",1,0)</f>
        <v/>
      </c>
      <c r="AA135" s="50" t="n"/>
      <c r="AB135" s="50" t="n"/>
      <c r="AC135" s="49" t="n"/>
      <c r="AD135" s="50" t="n"/>
      <c r="AE135" s="49" t="n"/>
    </row>
    <row r="136" ht="15.75" customHeight="1" s="40">
      <c r="A136" s="48" t="n"/>
      <c r="B136" s="48" t="n"/>
      <c r="C136" s="47" t="n"/>
      <c r="D136" s="48" t="n"/>
      <c r="E136" s="48" t="n"/>
      <c r="F136" s="48" t="n"/>
      <c r="G136" s="47" t="n"/>
      <c r="H136" s="50" t="n"/>
      <c r="I136" s="50" t="n"/>
      <c r="J136" s="50" t="n"/>
      <c r="K136" s="50" t="n"/>
      <c r="L136" s="49" t="n"/>
      <c r="M136" s="49" t="n"/>
      <c r="N136" s="49" t="n"/>
      <c r="O136" s="49" t="n"/>
      <c r="P136" s="50" t="n"/>
      <c r="Q136" s="49" t="n"/>
      <c r="R136" s="56">
        <f>IF(Q136="","",IFERROR(VLOOKUP(Q136,Lookups!$A$2:$B$8,2,FALSE),""))</f>
        <v/>
      </c>
      <c r="S136" s="53">
        <f>IF(B136="","",B136&amp;"|"&amp;TEXT(C136,"00"))</f>
        <v/>
      </c>
      <c r="T136" s="53">
        <f>IF(B136="","",B136&amp;"|"&amp;TEXT(C136-1,"00"))</f>
        <v/>
      </c>
      <c r="U136" s="53">
        <f>IFERROR(INDEX($Q:$Q,MATCH(T136,$S:$S,0)),"")</f>
        <v/>
      </c>
      <c r="V136" s="56">
        <f>IFERROR(INDEX($R:$R,MATCH(T136,$S:$S,0)),"")</f>
        <v/>
      </c>
      <c r="W136" s="56">
        <f>IF(U136="","",IF(Q136&lt;&gt;U136,1,0))</f>
        <v/>
      </c>
      <c r="X136" s="56">
        <f>IF(V136="","",IF(R136&lt;V136,1,0))</f>
        <v/>
      </c>
      <c r="Y136" s="56">
        <f>IF(V136="","",IF(R136&gt;V136,1,0))</f>
        <v/>
      </c>
      <c r="Z136" s="56">
        <f>IF(Q136="Pass",1,0)</f>
        <v/>
      </c>
      <c r="AA136" s="50" t="n"/>
      <c r="AB136" s="50" t="n"/>
      <c r="AC136" s="49" t="n"/>
      <c r="AD136" s="50" t="n"/>
      <c r="AE136" s="49" t="n"/>
    </row>
    <row r="137" ht="15.75" customHeight="1" s="40">
      <c r="A137" s="48" t="n"/>
      <c r="B137" s="48" t="n"/>
      <c r="C137" s="47" t="n"/>
      <c r="D137" s="48" t="n"/>
      <c r="E137" s="48" t="n"/>
      <c r="F137" s="48" t="n"/>
      <c r="G137" s="47" t="n"/>
      <c r="H137" s="50" t="n"/>
      <c r="I137" s="50" t="n"/>
      <c r="J137" s="50" t="n"/>
      <c r="K137" s="50" t="n"/>
      <c r="L137" s="49" t="n"/>
      <c r="M137" s="49" t="n"/>
      <c r="N137" s="49" t="n"/>
      <c r="O137" s="49" t="n"/>
      <c r="P137" s="50" t="n"/>
      <c r="Q137" s="49" t="n"/>
      <c r="R137" s="56">
        <f>IF(Q137="","",IFERROR(VLOOKUP(Q137,Lookups!$A$2:$B$8,2,FALSE),""))</f>
        <v/>
      </c>
      <c r="S137" s="53">
        <f>IF(B137="","",B137&amp;"|"&amp;TEXT(C137,"00"))</f>
        <v/>
      </c>
      <c r="T137" s="53">
        <f>IF(B137="","",B137&amp;"|"&amp;TEXT(C137-1,"00"))</f>
        <v/>
      </c>
      <c r="U137" s="53">
        <f>IFERROR(INDEX($Q:$Q,MATCH(T137,$S:$S,0)),"")</f>
        <v/>
      </c>
      <c r="V137" s="56">
        <f>IFERROR(INDEX($R:$R,MATCH(T137,$S:$S,0)),"")</f>
        <v/>
      </c>
      <c r="W137" s="56">
        <f>IF(U137="","",IF(Q137&lt;&gt;U137,1,0))</f>
        <v/>
      </c>
      <c r="X137" s="56">
        <f>IF(V137="","",IF(R137&lt;V137,1,0))</f>
        <v/>
      </c>
      <c r="Y137" s="56">
        <f>IF(V137="","",IF(R137&gt;V137,1,0))</f>
        <v/>
      </c>
      <c r="Z137" s="56">
        <f>IF(Q137="Pass",1,0)</f>
        <v/>
      </c>
      <c r="AA137" s="50" t="n"/>
      <c r="AB137" s="50" t="n"/>
      <c r="AC137" s="49" t="n"/>
      <c r="AD137" s="50" t="n"/>
      <c r="AE137" s="49" t="n"/>
    </row>
    <row r="138" ht="15.75" customHeight="1" s="40">
      <c r="A138" s="48" t="n"/>
      <c r="B138" s="48" t="n"/>
      <c r="C138" s="47" t="n"/>
      <c r="D138" s="48" t="n"/>
      <c r="E138" s="48" t="n"/>
      <c r="F138" s="48" t="n"/>
      <c r="G138" s="47" t="n"/>
      <c r="H138" s="50" t="n"/>
      <c r="I138" s="50" t="n"/>
      <c r="J138" s="50" t="n"/>
      <c r="K138" s="50" t="n"/>
      <c r="L138" s="49" t="n"/>
      <c r="M138" s="49" t="n"/>
      <c r="N138" s="49" t="n"/>
      <c r="O138" s="49" t="n"/>
      <c r="P138" s="50" t="n"/>
      <c r="Q138" s="49" t="n"/>
      <c r="R138" s="56">
        <f>IF(Q138="","",IFERROR(VLOOKUP(Q138,Lookups!$A$2:$B$8,2,FALSE),""))</f>
        <v/>
      </c>
      <c r="S138" s="53">
        <f>IF(B138="","",B138&amp;"|"&amp;TEXT(C138,"00"))</f>
        <v/>
      </c>
      <c r="T138" s="53">
        <f>IF(B138="","",B138&amp;"|"&amp;TEXT(C138-1,"00"))</f>
        <v/>
      </c>
      <c r="U138" s="53">
        <f>IFERROR(INDEX($Q:$Q,MATCH(T138,$S:$S,0)),"")</f>
        <v/>
      </c>
      <c r="V138" s="56">
        <f>IFERROR(INDEX($R:$R,MATCH(T138,$S:$S,0)),"")</f>
        <v/>
      </c>
      <c r="W138" s="56">
        <f>IF(U138="","",IF(Q138&lt;&gt;U138,1,0))</f>
        <v/>
      </c>
      <c r="X138" s="56">
        <f>IF(V138="","",IF(R138&lt;V138,1,0))</f>
        <v/>
      </c>
      <c r="Y138" s="56">
        <f>IF(V138="","",IF(R138&gt;V138,1,0))</f>
        <v/>
      </c>
      <c r="Z138" s="56">
        <f>IF(Q138="Pass",1,0)</f>
        <v/>
      </c>
      <c r="AA138" s="50" t="n"/>
      <c r="AB138" s="50" t="n"/>
      <c r="AC138" s="49" t="n"/>
      <c r="AD138" s="50" t="n"/>
      <c r="AE138" s="49" t="n"/>
    </row>
    <row r="139" ht="15.75" customHeight="1" s="40">
      <c r="A139" s="48" t="n"/>
      <c r="B139" s="48" t="n"/>
      <c r="C139" s="47" t="n"/>
      <c r="D139" s="48" t="n"/>
      <c r="E139" s="48" t="n"/>
      <c r="F139" s="48" t="n"/>
      <c r="G139" s="47" t="n"/>
      <c r="H139" s="50" t="n"/>
      <c r="I139" s="50" t="n"/>
      <c r="J139" s="50" t="n"/>
      <c r="K139" s="50" t="n"/>
      <c r="L139" s="49" t="n"/>
      <c r="M139" s="49" t="n"/>
      <c r="N139" s="49" t="n"/>
      <c r="O139" s="49" t="n"/>
      <c r="P139" s="50" t="n"/>
      <c r="Q139" s="49" t="n"/>
      <c r="R139" s="56">
        <f>IF(Q139="","",IFERROR(VLOOKUP(Q139,Lookups!$A$2:$B$8,2,FALSE),""))</f>
        <v/>
      </c>
      <c r="S139" s="53">
        <f>IF(B139="","",B139&amp;"|"&amp;TEXT(C139,"00"))</f>
        <v/>
      </c>
      <c r="T139" s="53">
        <f>IF(B139="","",B139&amp;"|"&amp;TEXT(C139-1,"00"))</f>
        <v/>
      </c>
      <c r="U139" s="53">
        <f>IFERROR(INDEX($Q:$Q,MATCH(T139,$S:$S,0)),"")</f>
        <v/>
      </c>
      <c r="V139" s="56">
        <f>IFERROR(INDEX($R:$R,MATCH(T139,$S:$S,0)),"")</f>
        <v/>
      </c>
      <c r="W139" s="56">
        <f>IF(U139="","",IF(Q139&lt;&gt;U139,1,0))</f>
        <v/>
      </c>
      <c r="X139" s="56">
        <f>IF(V139="","",IF(R139&lt;V139,1,0))</f>
        <v/>
      </c>
      <c r="Y139" s="56">
        <f>IF(V139="","",IF(R139&gt;V139,1,0))</f>
        <v/>
      </c>
      <c r="Z139" s="56">
        <f>IF(Q139="Pass",1,0)</f>
        <v/>
      </c>
      <c r="AA139" s="50" t="n"/>
      <c r="AB139" s="50" t="n"/>
      <c r="AC139" s="49" t="n"/>
      <c r="AD139" s="50" t="n"/>
      <c r="AE139" s="49" t="n"/>
    </row>
    <row r="140" ht="15.75" customHeight="1" s="40">
      <c r="A140" s="48" t="n"/>
      <c r="B140" s="48" t="n"/>
      <c r="C140" s="47" t="n"/>
      <c r="D140" s="48" t="n"/>
      <c r="E140" s="48" t="n"/>
      <c r="F140" s="48" t="n"/>
      <c r="G140" s="47" t="n"/>
      <c r="H140" s="50" t="n"/>
      <c r="I140" s="50" t="n"/>
      <c r="J140" s="50" t="n"/>
      <c r="K140" s="50" t="n"/>
      <c r="L140" s="49" t="n"/>
      <c r="M140" s="49" t="n"/>
      <c r="N140" s="49" t="n"/>
      <c r="O140" s="49" t="n"/>
      <c r="P140" s="50" t="n"/>
      <c r="Q140" s="49" t="n"/>
      <c r="R140" s="56">
        <f>IF(Q140="","",IFERROR(VLOOKUP(Q140,Lookups!$A$2:$B$8,2,FALSE),""))</f>
        <v/>
      </c>
      <c r="S140" s="53">
        <f>IF(B140="","",B140&amp;"|"&amp;TEXT(C140,"00"))</f>
        <v/>
      </c>
      <c r="T140" s="53">
        <f>IF(B140="","",B140&amp;"|"&amp;TEXT(C140-1,"00"))</f>
        <v/>
      </c>
      <c r="U140" s="53">
        <f>IFERROR(INDEX($Q:$Q,MATCH(T140,$S:$S,0)),"")</f>
        <v/>
      </c>
      <c r="V140" s="56">
        <f>IFERROR(INDEX($R:$R,MATCH(T140,$S:$S,0)),"")</f>
        <v/>
      </c>
      <c r="W140" s="56">
        <f>IF(U140="","",IF(Q140&lt;&gt;U140,1,0))</f>
        <v/>
      </c>
      <c r="X140" s="56">
        <f>IF(V140="","",IF(R140&lt;V140,1,0))</f>
        <v/>
      </c>
      <c r="Y140" s="56">
        <f>IF(V140="","",IF(R140&gt;V140,1,0))</f>
        <v/>
      </c>
      <c r="Z140" s="56">
        <f>IF(Q140="Pass",1,0)</f>
        <v/>
      </c>
      <c r="AA140" s="50" t="n"/>
      <c r="AB140" s="50" t="n"/>
      <c r="AC140" s="49" t="n"/>
      <c r="AD140" s="50" t="n"/>
      <c r="AE140" s="49" t="n"/>
    </row>
    <row r="141" ht="15.75" customHeight="1" s="40">
      <c r="A141" s="48" t="n"/>
      <c r="B141" s="48" t="n"/>
      <c r="C141" s="47" t="n"/>
      <c r="D141" s="48" t="n"/>
      <c r="E141" s="48" t="n"/>
      <c r="F141" s="48" t="n"/>
      <c r="G141" s="47" t="n"/>
      <c r="H141" s="50" t="n"/>
      <c r="I141" s="50" t="n"/>
      <c r="J141" s="50" t="n"/>
      <c r="K141" s="50" t="n"/>
      <c r="L141" s="49" t="n"/>
      <c r="M141" s="49" t="n"/>
      <c r="N141" s="49" t="n"/>
      <c r="O141" s="49" t="n"/>
      <c r="P141" s="50" t="n"/>
      <c r="Q141" s="49" t="n"/>
      <c r="R141" s="56">
        <f>IF(Q141="","",IFERROR(VLOOKUP(Q141,Lookups!$A$2:$B$8,2,FALSE),""))</f>
        <v/>
      </c>
      <c r="S141" s="53">
        <f>IF(B141="","",B141&amp;"|"&amp;TEXT(C141,"00"))</f>
        <v/>
      </c>
      <c r="T141" s="53">
        <f>IF(B141="","",B141&amp;"|"&amp;TEXT(C141-1,"00"))</f>
        <v/>
      </c>
      <c r="U141" s="53">
        <f>IFERROR(INDEX($Q:$Q,MATCH(T141,$S:$S,0)),"")</f>
        <v/>
      </c>
      <c r="V141" s="56">
        <f>IFERROR(INDEX($R:$R,MATCH(T141,$S:$S,0)),"")</f>
        <v/>
      </c>
      <c r="W141" s="56">
        <f>IF(U141="","",IF(Q141&lt;&gt;U141,1,0))</f>
        <v/>
      </c>
      <c r="X141" s="56">
        <f>IF(V141="","",IF(R141&lt;V141,1,0))</f>
        <v/>
      </c>
      <c r="Y141" s="56">
        <f>IF(V141="","",IF(R141&gt;V141,1,0))</f>
        <v/>
      </c>
      <c r="Z141" s="56">
        <f>IF(Q141="Pass",1,0)</f>
        <v/>
      </c>
      <c r="AA141" s="50" t="n"/>
      <c r="AB141" s="50" t="n"/>
      <c r="AC141" s="49" t="n"/>
      <c r="AD141" s="50" t="n"/>
      <c r="AE141" s="49" t="n"/>
    </row>
    <row r="142" ht="15.75" customHeight="1" s="40">
      <c r="A142" s="48" t="n"/>
      <c r="B142" s="48" t="n"/>
      <c r="C142" s="47" t="n"/>
      <c r="D142" s="48" t="n"/>
      <c r="E142" s="48" t="n"/>
      <c r="F142" s="48" t="n"/>
      <c r="G142" s="47" t="n"/>
      <c r="H142" s="50" t="n"/>
      <c r="I142" s="50" t="n"/>
      <c r="J142" s="50" t="n"/>
      <c r="K142" s="50" t="n"/>
      <c r="L142" s="49" t="n"/>
      <c r="M142" s="49" t="n"/>
      <c r="N142" s="49" t="n"/>
      <c r="O142" s="49" t="n"/>
      <c r="P142" s="50" t="n"/>
      <c r="Q142" s="49" t="n"/>
      <c r="R142" s="56">
        <f>IF(Q142="","",IFERROR(VLOOKUP(Q142,Lookups!$A$2:$B$8,2,FALSE),""))</f>
        <v/>
      </c>
      <c r="S142" s="53">
        <f>IF(B142="","",B142&amp;"|"&amp;TEXT(C142,"00"))</f>
        <v/>
      </c>
      <c r="T142" s="53">
        <f>IF(B142="","",B142&amp;"|"&amp;TEXT(C142-1,"00"))</f>
        <v/>
      </c>
      <c r="U142" s="53">
        <f>IFERROR(INDEX($Q:$Q,MATCH(T142,$S:$S,0)),"")</f>
        <v/>
      </c>
      <c r="V142" s="56">
        <f>IFERROR(INDEX($R:$R,MATCH(T142,$S:$S,0)),"")</f>
        <v/>
      </c>
      <c r="W142" s="56">
        <f>IF(U142="","",IF(Q142&lt;&gt;U142,1,0))</f>
        <v/>
      </c>
      <c r="X142" s="56">
        <f>IF(V142="","",IF(R142&lt;V142,1,0))</f>
        <v/>
      </c>
      <c r="Y142" s="56">
        <f>IF(V142="","",IF(R142&gt;V142,1,0))</f>
        <v/>
      </c>
      <c r="Z142" s="56">
        <f>IF(Q142="Pass",1,0)</f>
        <v/>
      </c>
      <c r="AA142" s="50" t="n"/>
      <c r="AB142" s="50" t="n"/>
      <c r="AC142" s="49" t="n"/>
      <c r="AD142" s="50" t="n"/>
      <c r="AE142" s="49" t="n"/>
    </row>
    <row r="143" ht="15.75" customHeight="1" s="40">
      <c r="A143" s="48" t="n"/>
      <c r="B143" s="48" t="n"/>
      <c r="C143" s="47" t="n"/>
      <c r="D143" s="48" t="n"/>
      <c r="E143" s="48" t="n"/>
      <c r="F143" s="48" t="n"/>
      <c r="G143" s="47" t="n"/>
      <c r="H143" s="50" t="n"/>
      <c r="I143" s="50" t="n"/>
      <c r="J143" s="50" t="n"/>
      <c r="K143" s="50" t="n"/>
      <c r="L143" s="49" t="n"/>
      <c r="M143" s="49" t="n"/>
      <c r="N143" s="49" t="n"/>
      <c r="O143" s="49" t="n"/>
      <c r="P143" s="50" t="n"/>
      <c r="Q143" s="49" t="n"/>
      <c r="R143" s="56">
        <f>IF(Q143="","",IFERROR(VLOOKUP(Q143,Lookups!$A$2:$B$8,2,FALSE),""))</f>
        <v/>
      </c>
      <c r="S143" s="53">
        <f>IF(B143="","",B143&amp;"|"&amp;TEXT(C143,"00"))</f>
        <v/>
      </c>
      <c r="T143" s="53">
        <f>IF(B143="","",B143&amp;"|"&amp;TEXT(C143-1,"00"))</f>
        <v/>
      </c>
      <c r="U143" s="53">
        <f>IFERROR(INDEX($Q:$Q,MATCH(T143,$S:$S,0)),"")</f>
        <v/>
      </c>
      <c r="V143" s="56">
        <f>IFERROR(INDEX($R:$R,MATCH(T143,$S:$S,0)),"")</f>
        <v/>
      </c>
      <c r="W143" s="56">
        <f>IF(U143="","",IF(Q143&lt;&gt;U143,1,0))</f>
        <v/>
      </c>
      <c r="X143" s="56">
        <f>IF(V143="","",IF(R143&lt;V143,1,0))</f>
        <v/>
      </c>
      <c r="Y143" s="56">
        <f>IF(V143="","",IF(R143&gt;V143,1,0))</f>
        <v/>
      </c>
      <c r="Z143" s="56">
        <f>IF(Q143="Pass",1,0)</f>
        <v/>
      </c>
      <c r="AA143" s="50" t="n"/>
      <c r="AB143" s="50" t="n"/>
      <c r="AC143" s="49" t="n"/>
      <c r="AD143" s="50" t="n"/>
      <c r="AE143" s="49" t="n"/>
    </row>
    <row r="144" ht="15.75" customHeight="1" s="40">
      <c r="A144" s="48" t="n"/>
      <c r="B144" s="48" t="n"/>
      <c r="C144" s="47" t="n"/>
      <c r="D144" s="48" t="n"/>
      <c r="E144" s="48" t="n"/>
      <c r="F144" s="48" t="n"/>
      <c r="G144" s="47" t="n"/>
      <c r="H144" s="50" t="n"/>
      <c r="I144" s="50" t="n"/>
      <c r="J144" s="50" t="n"/>
      <c r="K144" s="50" t="n"/>
      <c r="L144" s="49" t="n"/>
      <c r="M144" s="49" t="n"/>
      <c r="N144" s="49" t="n"/>
      <c r="O144" s="49" t="n"/>
      <c r="P144" s="50" t="n"/>
      <c r="Q144" s="49" t="n"/>
      <c r="R144" s="56">
        <f>IF(Q144="","",IFERROR(VLOOKUP(Q144,Lookups!$A$2:$B$8,2,FALSE),""))</f>
        <v/>
      </c>
      <c r="S144" s="53">
        <f>IF(B144="","",B144&amp;"|"&amp;TEXT(C144,"00"))</f>
        <v/>
      </c>
      <c r="T144" s="53">
        <f>IF(B144="","",B144&amp;"|"&amp;TEXT(C144-1,"00"))</f>
        <v/>
      </c>
      <c r="U144" s="53">
        <f>IFERROR(INDEX($Q:$Q,MATCH(T144,$S:$S,0)),"")</f>
        <v/>
      </c>
      <c r="V144" s="56">
        <f>IFERROR(INDEX($R:$R,MATCH(T144,$S:$S,0)),"")</f>
        <v/>
      </c>
      <c r="W144" s="56">
        <f>IF(U144="","",IF(Q144&lt;&gt;U144,1,0))</f>
        <v/>
      </c>
      <c r="X144" s="56">
        <f>IF(V144="","",IF(R144&lt;V144,1,0))</f>
        <v/>
      </c>
      <c r="Y144" s="56">
        <f>IF(V144="","",IF(R144&gt;V144,1,0))</f>
        <v/>
      </c>
      <c r="Z144" s="56">
        <f>IF(Q144="Pass",1,0)</f>
        <v/>
      </c>
      <c r="AA144" s="50" t="n"/>
      <c r="AB144" s="50" t="n"/>
      <c r="AC144" s="49" t="n"/>
      <c r="AD144" s="50" t="n"/>
      <c r="AE144" s="49" t="n"/>
    </row>
    <row r="145" ht="15.75" customHeight="1" s="40">
      <c r="A145" s="48" t="n"/>
      <c r="B145" s="48" t="n"/>
      <c r="C145" s="47" t="n"/>
      <c r="D145" s="48" t="n"/>
      <c r="E145" s="48" t="n"/>
      <c r="F145" s="48" t="n"/>
      <c r="G145" s="47" t="n"/>
      <c r="H145" s="50" t="n"/>
      <c r="I145" s="50" t="n"/>
      <c r="J145" s="50" t="n"/>
      <c r="K145" s="50" t="n"/>
      <c r="L145" s="49" t="n"/>
      <c r="M145" s="49" t="n"/>
      <c r="N145" s="49" t="n"/>
      <c r="O145" s="49" t="n"/>
      <c r="P145" s="50" t="n"/>
      <c r="Q145" s="49" t="n"/>
      <c r="R145" s="56">
        <f>IF(Q145="","",IFERROR(VLOOKUP(Q145,Lookups!$A$2:$B$8,2,FALSE),""))</f>
        <v/>
      </c>
      <c r="S145" s="53">
        <f>IF(B145="","",B145&amp;"|"&amp;TEXT(C145,"00"))</f>
        <v/>
      </c>
      <c r="T145" s="53">
        <f>IF(B145="","",B145&amp;"|"&amp;TEXT(C145-1,"00"))</f>
        <v/>
      </c>
      <c r="U145" s="53">
        <f>IFERROR(INDEX($Q:$Q,MATCH(T145,$S:$S,0)),"")</f>
        <v/>
      </c>
      <c r="V145" s="56">
        <f>IFERROR(INDEX($R:$R,MATCH(T145,$S:$S,0)),"")</f>
        <v/>
      </c>
      <c r="W145" s="56">
        <f>IF(U145="","",IF(Q145&lt;&gt;U145,1,0))</f>
        <v/>
      </c>
      <c r="X145" s="56">
        <f>IF(V145="","",IF(R145&lt;V145,1,0))</f>
        <v/>
      </c>
      <c r="Y145" s="56">
        <f>IF(V145="","",IF(R145&gt;V145,1,0))</f>
        <v/>
      </c>
      <c r="Z145" s="56">
        <f>IF(Q145="Pass",1,0)</f>
        <v/>
      </c>
      <c r="AA145" s="50" t="n"/>
      <c r="AB145" s="50" t="n"/>
      <c r="AC145" s="49" t="n"/>
      <c r="AD145" s="50" t="n"/>
      <c r="AE145" s="49" t="n"/>
    </row>
    <row r="146" ht="15.75" customHeight="1" s="40">
      <c r="A146" s="48" t="n"/>
      <c r="B146" s="48" t="n"/>
      <c r="C146" s="47" t="n"/>
      <c r="D146" s="48" t="n"/>
      <c r="E146" s="48" t="n"/>
      <c r="F146" s="48" t="n"/>
      <c r="G146" s="47" t="n"/>
      <c r="H146" s="50" t="n"/>
      <c r="I146" s="50" t="n"/>
      <c r="J146" s="50" t="n"/>
      <c r="K146" s="50" t="n"/>
      <c r="L146" s="49" t="n"/>
      <c r="M146" s="49" t="n"/>
      <c r="N146" s="49" t="n"/>
      <c r="O146" s="49" t="n"/>
      <c r="P146" s="50" t="n"/>
      <c r="Q146" s="49" t="n"/>
      <c r="R146" s="56">
        <f>IF(Q146="","",IFERROR(VLOOKUP(Q146,Lookups!$A$2:$B$8,2,FALSE),""))</f>
        <v/>
      </c>
      <c r="S146" s="53">
        <f>IF(B146="","",B146&amp;"|"&amp;TEXT(C146,"00"))</f>
        <v/>
      </c>
      <c r="T146" s="53">
        <f>IF(B146="","",B146&amp;"|"&amp;TEXT(C146-1,"00"))</f>
        <v/>
      </c>
      <c r="U146" s="53">
        <f>IFERROR(INDEX($Q:$Q,MATCH(T146,$S:$S,0)),"")</f>
        <v/>
      </c>
      <c r="V146" s="56">
        <f>IFERROR(INDEX($R:$R,MATCH(T146,$S:$S,0)),"")</f>
        <v/>
      </c>
      <c r="W146" s="56">
        <f>IF(U146="","",IF(Q146&lt;&gt;U146,1,0))</f>
        <v/>
      </c>
      <c r="X146" s="56">
        <f>IF(V146="","",IF(R146&lt;V146,1,0))</f>
        <v/>
      </c>
      <c r="Y146" s="56">
        <f>IF(V146="","",IF(R146&gt;V146,1,0))</f>
        <v/>
      </c>
      <c r="Z146" s="56">
        <f>IF(Q146="Pass",1,0)</f>
        <v/>
      </c>
      <c r="AA146" s="50" t="n"/>
      <c r="AB146" s="50" t="n"/>
      <c r="AC146" s="49" t="n"/>
      <c r="AD146" s="50" t="n"/>
      <c r="AE146" s="49" t="n"/>
    </row>
    <row r="147" ht="15.75" customHeight="1" s="40">
      <c r="A147" s="48" t="n"/>
      <c r="B147" s="48" t="n"/>
      <c r="C147" s="47" t="n"/>
      <c r="D147" s="48" t="n"/>
      <c r="E147" s="48" t="n"/>
      <c r="F147" s="48" t="n"/>
      <c r="G147" s="47" t="n"/>
      <c r="H147" s="50" t="n"/>
      <c r="I147" s="50" t="n"/>
      <c r="J147" s="50" t="n"/>
      <c r="K147" s="50" t="n"/>
      <c r="L147" s="49" t="n"/>
      <c r="M147" s="49" t="n"/>
      <c r="N147" s="49" t="n"/>
      <c r="O147" s="49" t="n"/>
      <c r="P147" s="50" t="n"/>
      <c r="Q147" s="49" t="n"/>
      <c r="R147" s="56">
        <f>IF(Q147="","",IFERROR(VLOOKUP(Q147,Lookups!$A$2:$B$8,2,FALSE),""))</f>
        <v/>
      </c>
      <c r="S147" s="53">
        <f>IF(B147="","",B147&amp;"|"&amp;TEXT(C147,"00"))</f>
        <v/>
      </c>
      <c r="T147" s="53">
        <f>IF(B147="","",B147&amp;"|"&amp;TEXT(C147-1,"00"))</f>
        <v/>
      </c>
      <c r="U147" s="53">
        <f>IFERROR(INDEX($Q:$Q,MATCH(T147,$S:$S,0)),"")</f>
        <v/>
      </c>
      <c r="V147" s="56">
        <f>IFERROR(INDEX($R:$R,MATCH(T147,$S:$S,0)),"")</f>
        <v/>
      </c>
      <c r="W147" s="56">
        <f>IF(U147="","",IF(Q147&lt;&gt;U147,1,0))</f>
        <v/>
      </c>
      <c r="X147" s="56">
        <f>IF(V147="","",IF(R147&lt;V147,1,0))</f>
        <v/>
      </c>
      <c r="Y147" s="56">
        <f>IF(V147="","",IF(R147&gt;V147,1,0))</f>
        <v/>
      </c>
      <c r="Z147" s="56">
        <f>IF(Q147="Pass",1,0)</f>
        <v/>
      </c>
      <c r="AA147" s="50" t="n"/>
      <c r="AB147" s="50" t="n"/>
      <c r="AC147" s="49" t="n"/>
      <c r="AD147" s="50" t="n"/>
      <c r="AE147" s="49" t="n"/>
    </row>
    <row r="148" ht="15.75" customHeight="1" s="40">
      <c r="A148" s="48" t="n"/>
      <c r="B148" s="48" t="n"/>
      <c r="C148" s="47" t="n"/>
      <c r="D148" s="48" t="n"/>
      <c r="E148" s="48" t="n"/>
      <c r="F148" s="48" t="n"/>
      <c r="G148" s="47" t="n"/>
      <c r="H148" s="50" t="n"/>
      <c r="I148" s="50" t="n"/>
      <c r="J148" s="50" t="n"/>
      <c r="K148" s="50" t="n"/>
      <c r="L148" s="49" t="n"/>
      <c r="M148" s="49" t="n"/>
      <c r="N148" s="49" t="n"/>
      <c r="O148" s="49" t="n"/>
      <c r="P148" s="50" t="n"/>
      <c r="Q148" s="49" t="n"/>
      <c r="R148" s="56">
        <f>IF(Q148="","",IFERROR(VLOOKUP(Q148,Lookups!$A$2:$B$8,2,FALSE),""))</f>
        <v/>
      </c>
      <c r="S148" s="53">
        <f>IF(B148="","",B148&amp;"|"&amp;TEXT(C148,"00"))</f>
        <v/>
      </c>
      <c r="T148" s="53">
        <f>IF(B148="","",B148&amp;"|"&amp;TEXT(C148-1,"00"))</f>
        <v/>
      </c>
      <c r="U148" s="53">
        <f>IFERROR(INDEX($Q:$Q,MATCH(T148,$S:$S,0)),"")</f>
        <v/>
      </c>
      <c r="V148" s="56">
        <f>IFERROR(INDEX($R:$R,MATCH(T148,$S:$S,0)),"")</f>
        <v/>
      </c>
      <c r="W148" s="56">
        <f>IF(U148="","",IF(Q148&lt;&gt;U148,1,0))</f>
        <v/>
      </c>
      <c r="X148" s="56">
        <f>IF(V148="","",IF(R148&lt;V148,1,0))</f>
        <v/>
      </c>
      <c r="Y148" s="56">
        <f>IF(V148="","",IF(R148&gt;V148,1,0))</f>
        <v/>
      </c>
      <c r="Z148" s="56">
        <f>IF(Q148="Pass",1,0)</f>
        <v/>
      </c>
      <c r="AA148" s="50" t="n"/>
      <c r="AB148" s="50" t="n"/>
      <c r="AC148" s="49" t="n"/>
      <c r="AD148" s="50" t="n"/>
      <c r="AE148" s="49" t="n"/>
    </row>
    <row r="149" ht="15.75" customHeight="1" s="40">
      <c r="A149" s="48" t="n"/>
      <c r="B149" s="48" t="n"/>
      <c r="C149" s="47" t="n"/>
      <c r="D149" s="48" t="n"/>
      <c r="E149" s="48" t="n"/>
      <c r="F149" s="48" t="n"/>
      <c r="G149" s="47" t="n"/>
      <c r="H149" s="50" t="n"/>
      <c r="I149" s="50" t="n"/>
      <c r="J149" s="50" t="n"/>
      <c r="K149" s="50" t="n"/>
      <c r="L149" s="49" t="n"/>
      <c r="M149" s="49" t="n"/>
      <c r="N149" s="49" t="n"/>
      <c r="O149" s="49" t="n"/>
      <c r="P149" s="50" t="n"/>
      <c r="Q149" s="49" t="n"/>
      <c r="R149" s="56">
        <f>IF(Q149="","",IFERROR(VLOOKUP(Q149,Lookups!$A$2:$B$8,2,FALSE),""))</f>
        <v/>
      </c>
      <c r="S149" s="53">
        <f>IF(B149="","",B149&amp;"|"&amp;TEXT(C149,"00"))</f>
        <v/>
      </c>
      <c r="T149" s="53">
        <f>IF(B149="","",B149&amp;"|"&amp;TEXT(C149-1,"00"))</f>
        <v/>
      </c>
      <c r="U149" s="53">
        <f>IFERROR(INDEX($Q:$Q,MATCH(T149,$S:$S,0)),"")</f>
        <v/>
      </c>
      <c r="V149" s="56">
        <f>IFERROR(INDEX($R:$R,MATCH(T149,$S:$S,0)),"")</f>
        <v/>
      </c>
      <c r="W149" s="56">
        <f>IF(U149="","",IF(Q149&lt;&gt;U149,1,0))</f>
        <v/>
      </c>
      <c r="X149" s="56">
        <f>IF(V149="","",IF(R149&lt;V149,1,0))</f>
        <v/>
      </c>
      <c r="Y149" s="56">
        <f>IF(V149="","",IF(R149&gt;V149,1,0))</f>
        <v/>
      </c>
      <c r="Z149" s="56">
        <f>IF(Q149="Pass",1,0)</f>
        <v/>
      </c>
      <c r="AA149" s="50" t="n"/>
      <c r="AB149" s="50" t="n"/>
      <c r="AC149" s="49" t="n"/>
      <c r="AD149" s="50" t="n"/>
      <c r="AE149" s="49" t="n"/>
    </row>
    <row r="150" ht="15.75" customHeight="1" s="40">
      <c r="A150" s="48" t="n"/>
      <c r="B150" s="48" t="n"/>
      <c r="C150" s="47" t="n"/>
      <c r="D150" s="48" t="n"/>
      <c r="E150" s="48" t="n"/>
      <c r="F150" s="48" t="n"/>
      <c r="G150" s="47" t="n"/>
      <c r="H150" s="50" t="n"/>
      <c r="I150" s="50" t="n"/>
      <c r="J150" s="50" t="n"/>
      <c r="K150" s="50" t="n"/>
      <c r="L150" s="49" t="n"/>
      <c r="M150" s="49" t="n"/>
      <c r="N150" s="49" t="n"/>
      <c r="O150" s="49" t="n"/>
      <c r="P150" s="50" t="n"/>
      <c r="Q150" s="49" t="n"/>
      <c r="R150" s="56">
        <f>IF(Q150="","",IFERROR(VLOOKUP(Q150,Lookups!$A$2:$B$8,2,FALSE),""))</f>
        <v/>
      </c>
      <c r="S150" s="53">
        <f>IF(B150="","",B150&amp;"|"&amp;TEXT(C150,"00"))</f>
        <v/>
      </c>
      <c r="T150" s="53">
        <f>IF(B150="","",B150&amp;"|"&amp;TEXT(C150-1,"00"))</f>
        <v/>
      </c>
      <c r="U150" s="53">
        <f>IFERROR(INDEX($Q:$Q,MATCH(T150,$S:$S,0)),"")</f>
        <v/>
      </c>
      <c r="V150" s="56">
        <f>IFERROR(INDEX($R:$R,MATCH(T150,$S:$S,0)),"")</f>
        <v/>
      </c>
      <c r="W150" s="56">
        <f>IF(U150="","",IF(Q150&lt;&gt;U150,1,0))</f>
        <v/>
      </c>
      <c r="X150" s="56">
        <f>IF(V150="","",IF(R150&lt;V150,1,0))</f>
        <v/>
      </c>
      <c r="Y150" s="56">
        <f>IF(V150="","",IF(R150&gt;V150,1,0))</f>
        <v/>
      </c>
      <c r="Z150" s="56">
        <f>IF(Q150="Pass",1,0)</f>
        <v/>
      </c>
      <c r="AA150" s="50" t="n"/>
      <c r="AB150" s="50" t="n"/>
      <c r="AC150" s="49" t="n"/>
      <c r="AD150" s="50" t="n"/>
      <c r="AE150" s="49" t="n"/>
    </row>
    <row r="151" ht="15.75" customHeight="1" s="40">
      <c r="A151" s="48" t="n"/>
      <c r="B151" s="48" t="n"/>
      <c r="C151" s="47" t="n"/>
      <c r="D151" s="48" t="n"/>
      <c r="E151" s="48" t="n"/>
      <c r="F151" s="48" t="n"/>
      <c r="G151" s="47" t="n"/>
      <c r="H151" s="50" t="n"/>
      <c r="I151" s="50" t="n"/>
      <c r="J151" s="50" t="n"/>
      <c r="K151" s="50" t="n"/>
      <c r="L151" s="49" t="n"/>
      <c r="M151" s="49" t="n"/>
      <c r="N151" s="49" t="n"/>
      <c r="O151" s="49" t="n"/>
      <c r="P151" s="50" t="n"/>
      <c r="Q151" s="49" t="n"/>
      <c r="R151" s="56">
        <f>IF(Q151="","",IFERROR(VLOOKUP(Q151,Lookups!$A$2:$B$8,2,FALSE),""))</f>
        <v/>
      </c>
      <c r="S151" s="53">
        <f>IF(B151="","",B151&amp;"|"&amp;TEXT(C151,"00"))</f>
        <v/>
      </c>
      <c r="T151" s="53">
        <f>IF(B151="","",B151&amp;"|"&amp;TEXT(C151-1,"00"))</f>
        <v/>
      </c>
      <c r="U151" s="53">
        <f>IFERROR(INDEX($Q:$Q,MATCH(T151,$S:$S,0)),"")</f>
        <v/>
      </c>
      <c r="V151" s="56">
        <f>IFERROR(INDEX($R:$R,MATCH(T151,$S:$S,0)),"")</f>
        <v/>
      </c>
      <c r="W151" s="56">
        <f>IF(U151="","",IF(Q151&lt;&gt;U151,1,0))</f>
        <v/>
      </c>
      <c r="X151" s="56">
        <f>IF(V151="","",IF(R151&lt;V151,1,0))</f>
        <v/>
      </c>
      <c r="Y151" s="56">
        <f>IF(V151="","",IF(R151&gt;V151,1,0))</f>
        <v/>
      </c>
      <c r="Z151" s="56">
        <f>IF(Q151="Pass",1,0)</f>
        <v/>
      </c>
      <c r="AA151" s="50" t="n"/>
      <c r="AB151" s="50" t="n"/>
      <c r="AC151" s="49" t="n"/>
      <c r="AD151" s="50" t="n"/>
      <c r="AE151" s="49" t="n"/>
    </row>
    <row r="152" ht="15.75" customHeight="1" s="40">
      <c r="A152" s="48" t="n"/>
      <c r="B152" s="48" t="n"/>
      <c r="C152" s="47" t="n"/>
      <c r="D152" s="48" t="n"/>
      <c r="E152" s="48" t="n"/>
      <c r="F152" s="48" t="n"/>
      <c r="G152" s="47" t="n"/>
      <c r="H152" s="50" t="n"/>
      <c r="I152" s="50" t="n"/>
      <c r="J152" s="50" t="n"/>
      <c r="K152" s="50" t="n"/>
      <c r="L152" s="49" t="n"/>
      <c r="M152" s="49" t="n"/>
      <c r="N152" s="49" t="n"/>
      <c r="O152" s="49" t="n"/>
      <c r="P152" s="50" t="n"/>
      <c r="Q152" s="49" t="n"/>
      <c r="R152" s="56">
        <f>IF(Q152="","",IFERROR(VLOOKUP(Q152,Lookups!$A$2:$B$8,2,FALSE),""))</f>
        <v/>
      </c>
      <c r="S152" s="53">
        <f>IF(B152="","",B152&amp;"|"&amp;TEXT(C152,"00"))</f>
        <v/>
      </c>
      <c r="T152" s="53">
        <f>IF(B152="","",B152&amp;"|"&amp;TEXT(C152-1,"00"))</f>
        <v/>
      </c>
      <c r="U152" s="53">
        <f>IFERROR(INDEX($Q:$Q,MATCH(T152,$S:$S,0)),"")</f>
        <v/>
      </c>
      <c r="V152" s="56">
        <f>IFERROR(INDEX($R:$R,MATCH(T152,$S:$S,0)),"")</f>
        <v/>
      </c>
      <c r="W152" s="56">
        <f>IF(U152="","",IF(Q152&lt;&gt;U152,1,0))</f>
        <v/>
      </c>
      <c r="X152" s="56">
        <f>IF(V152="","",IF(R152&lt;V152,1,0))</f>
        <v/>
      </c>
      <c r="Y152" s="56">
        <f>IF(V152="","",IF(R152&gt;V152,1,0))</f>
        <v/>
      </c>
      <c r="Z152" s="56">
        <f>IF(Q152="Pass",1,0)</f>
        <v/>
      </c>
      <c r="AA152" s="50" t="n"/>
      <c r="AB152" s="50" t="n"/>
      <c r="AC152" s="49" t="n"/>
      <c r="AD152" s="50" t="n"/>
      <c r="AE152" s="49" t="n"/>
    </row>
    <row r="153" ht="15.75" customHeight="1" s="40">
      <c r="A153" s="48" t="n"/>
      <c r="B153" s="48" t="n"/>
      <c r="C153" s="47" t="n"/>
      <c r="D153" s="48" t="n"/>
      <c r="E153" s="48" t="n"/>
      <c r="F153" s="48" t="n"/>
      <c r="G153" s="47" t="n"/>
      <c r="H153" s="50" t="n"/>
      <c r="I153" s="50" t="n"/>
      <c r="J153" s="50" t="n"/>
      <c r="K153" s="50" t="n"/>
      <c r="L153" s="49" t="n"/>
      <c r="M153" s="49" t="n"/>
      <c r="N153" s="49" t="n"/>
      <c r="O153" s="49" t="n"/>
      <c r="P153" s="50" t="n"/>
      <c r="Q153" s="49" t="n"/>
      <c r="R153" s="56">
        <f>IF(Q153="","",IFERROR(VLOOKUP(Q153,Lookups!$A$2:$B$8,2,FALSE),""))</f>
        <v/>
      </c>
      <c r="S153" s="53">
        <f>IF(B153="","",B153&amp;"|"&amp;TEXT(C153,"00"))</f>
        <v/>
      </c>
      <c r="T153" s="53">
        <f>IF(B153="","",B153&amp;"|"&amp;TEXT(C153-1,"00"))</f>
        <v/>
      </c>
      <c r="U153" s="53">
        <f>IFERROR(INDEX($Q:$Q,MATCH(T153,$S:$S,0)),"")</f>
        <v/>
      </c>
      <c r="V153" s="56">
        <f>IFERROR(INDEX($R:$R,MATCH(T153,$S:$S,0)),"")</f>
        <v/>
      </c>
      <c r="W153" s="56">
        <f>IF(U153="","",IF(Q153&lt;&gt;U153,1,0))</f>
        <v/>
      </c>
      <c r="X153" s="56">
        <f>IF(V153="","",IF(R153&lt;V153,1,0))</f>
        <v/>
      </c>
      <c r="Y153" s="56">
        <f>IF(V153="","",IF(R153&gt;V153,1,0))</f>
        <v/>
      </c>
      <c r="Z153" s="56">
        <f>IF(Q153="Pass",1,0)</f>
        <v/>
      </c>
      <c r="AA153" s="50" t="n"/>
      <c r="AB153" s="50" t="n"/>
      <c r="AC153" s="49" t="n"/>
      <c r="AD153" s="50" t="n"/>
      <c r="AE153" s="49" t="n"/>
    </row>
    <row r="154" ht="15.75" customHeight="1" s="40">
      <c r="A154" s="48" t="n"/>
      <c r="B154" s="48" t="n"/>
      <c r="C154" s="47" t="n"/>
      <c r="D154" s="48" t="n"/>
      <c r="E154" s="48" t="n"/>
      <c r="F154" s="48" t="n"/>
      <c r="G154" s="47" t="n"/>
      <c r="H154" s="50" t="n"/>
      <c r="I154" s="50" t="n"/>
      <c r="J154" s="50" t="n"/>
      <c r="K154" s="50" t="n"/>
      <c r="L154" s="49" t="n"/>
      <c r="M154" s="49" t="n"/>
      <c r="N154" s="49" t="n"/>
      <c r="O154" s="49" t="n"/>
      <c r="P154" s="50" t="n"/>
      <c r="Q154" s="49" t="n"/>
      <c r="R154" s="56">
        <f>IF(Q154="","",IFERROR(VLOOKUP(Q154,Lookups!$A$2:$B$8,2,FALSE),""))</f>
        <v/>
      </c>
      <c r="S154" s="53">
        <f>IF(B154="","",B154&amp;"|"&amp;TEXT(C154,"00"))</f>
        <v/>
      </c>
      <c r="T154" s="53">
        <f>IF(B154="","",B154&amp;"|"&amp;TEXT(C154-1,"00"))</f>
        <v/>
      </c>
      <c r="U154" s="53">
        <f>IFERROR(INDEX($Q:$Q,MATCH(T154,$S:$S,0)),"")</f>
        <v/>
      </c>
      <c r="V154" s="56">
        <f>IFERROR(INDEX($R:$R,MATCH(T154,$S:$S,0)),"")</f>
        <v/>
      </c>
      <c r="W154" s="56">
        <f>IF(U154="","",IF(Q154&lt;&gt;U154,1,0))</f>
        <v/>
      </c>
      <c r="X154" s="56">
        <f>IF(V154="","",IF(R154&lt;V154,1,0))</f>
        <v/>
      </c>
      <c r="Y154" s="56">
        <f>IF(V154="","",IF(R154&gt;V154,1,0))</f>
        <v/>
      </c>
      <c r="Z154" s="56">
        <f>IF(Q154="Pass",1,0)</f>
        <v/>
      </c>
      <c r="AA154" s="50" t="n"/>
      <c r="AB154" s="50" t="n"/>
      <c r="AC154" s="49" t="n"/>
      <c r="AD154" s="50" t="n"/>
      <c r="AE154" s="49" t="n"/>
    </row>
    <row r="155" ht="15.75" customHeight="1" s="40">
      <c r="A155" s="48" t="n"/>
      <c r="B155" s="48" t="n"/>
      <c r="C155" s="47" t="n"/>
      <c r="D155" s="48" t="n"/>
      <c r="E155" s="48" t="n"/>
      <c r="F155" s="48" t="n"/>
      <c r="G155" s="47" t="n"/>
      <c r="H155" s="50" t="n"/>
      <c r="I155" s="50" t="n"/>
      <c r="J155" s="50" t="n"/>
      <c r="K155" s="50" t="n"/>
      <c r="L155" s="49" t="n"/>
      <c r="M155" s="49" t="n"/>
      <c r="N155" s="49" t="n"/>
      <c r="O155" s="49" t="n"/>
      <c r="P155" s="50" t="n"/>
      <c r="Q155" s="49" t="n"/>
      <c r="R155" s="56">
        <f>IF(Q155="","",IFERROR(VLOOKUP(Q155,Lookups!$A$2:$B$8,2,FALSE),""))</f>
        <v/>
      </c>
      <c r="S155" s="53">
        <f>IF(B155="","",B155&amp;"|"&amp;TEXT(C155,"00"))</f>
        <v/>
      </c>
      <c r="T155" s="53">
        <f>IF(B155="","",B155&amp;"|"&amp;TEXT(C155-1,"00"))</f>
        <v/>
      </c>
      <c r="U155" s="53">
        <f>IFERROR(INDEX($Q:$Q,MATCH(T155,$S:$S,0)),"")</f>
        <v/>
      </c>
      <c r="V155" s="56">
        <f>IFERROR(INDEX($R:$R,MATCH(T155,$S:$S,0)),"")</f>
        <v/>
      </c>
      <c r="W155" s="56">
        <f>IF(U155="","",IF(Q155&lt;&gt;U155,1,0))</f>
        <v/>
      </c>
      <c r="X155" s="56">
        <f>IF(V155="","",IF(R155&lt;V155,1,0))</f>
        <v/>
      </c>
      <c r="Y155" s="56">
        <f>IF(V155="","",IF(R155&gt;V155,1,0))</f>
        <v/>
      </c>
      <c r="Z155" s="56">
        <f>IF(Q155="Pass",1,0)</f>
        <v/>
      </c>
      <c r="AA155" s="50" t="n"/>
      <c r="AB155" s="50" t="n"/>
      <c r="AC155" s="49" t="n"/>
      <c r="AD155" s="50" t="n"/>
      <c r="AE155" s="49" t="n"/>
    </row>
    <row r="156" ht="15.75" customHeight="1" s="40">
      <c r="A156" s="48" t="n"/>
      <c r="B156" s="48" t="n"/>
      <c r="C156" s="47" t="n"/>
      <c r="D156" s="48" t="n"/>
      <c r="E156" s="48" t="n"/>
      <c r="F156" s="48" t="n"/>
      <c r="G156" s="47" t="n"/>
      <c r="H156" s="50" t="n"/>
      <c r="I156" s="50" t="n"/>
      <c r="J156" s="50" t="n"/>
      <c r="K156" s="50" t="n"/>
      <c r="L156" s="49" t="n"/>
      <c r="M156" s="49" t="n"/>
      <c r="N156" s="49" t="n"/>
      <c r="O156" s="49" t="n"/>
      <c r="P156" s="50" t="n"/>
      <c r="Q156" s="49" t="n"/>
      <c r="R156" s="56">
        <f>IF(Q156="","",IFERROR(VLOOKUP(Q156,Lookups!$A$2:$B$8,2,FALSE),""))</f>
        <v/>
      </c>
      <c r="S156" s="53">
        <f>IF(B156="","",B156&amp;"|"&amp;TEXT(C156,"00"))</f>
        <v/>
      </c>
      <c r="T156" s="53">
        <f>IF(B156="","",B156&amp;"|"&amp;TEXT(C156-1,"00"))</f>
        <v/>
      </c>
      <c r="U156" s="53">
        <f>IFERROR(INDEX($Q:$Q,MATCH(T156,$S:$S,0)),"")</f>
        <v/>
      </c>
      <c r="V156" s="56">
        <f>IFERROR(INDEX($R:$R,MATCH(T156,$S:$S,0)),"")</f>
        <v/>
      </c>
      <c r="W156" s="56">
        <f>IF(U156="","",IF(Q156&lt;&gt;U156,1,0))</f>
        <v/>
      </c>
      <c r="X156" s="56">
        <f>IF(V156="","",IF(R156&lt;V156,1,0))</f>
        <v/>
      </c>
      <c r="Y156" s="56">
        <f>IF(V156="","",IF(R156&gt;V156,1,0))</f>
        <v/>
      </c>
      <c r="Z156" s="56">
        <f>IF(Q156="Pass",1,0)</f>
        <v/>
      </c>
      <c r="AA156" s="50" t="n"/>
      <c r="AB156" s="50" t="n"/>
      <c r="AC156" s="49" t="n"/>
      <c r="AD156" s="50" t="n"/>
      <c r="AE156" s="49" t="n"/>
    </row>
    <row r="157" ht="15.75" customHeight="1" s="40">
      <c r="A157" s="48" t="n"/>
      <c r="B157" s="48" t="n"/>
      <c r="C157" s="47" t="n"/>
      <c r="D157" s="48" t="n"/>
      <c r="E157" s="48" t="n"/>
      <c r="F157" s="48" t="n"/>
      <c r="G157" s="47" t="n"/>
      <c r="H157" s="50" t="n"/>
      <c r="I157" s="50" t="n"/>
      <c r="J157" s="50" t="n"/>
      <c r="K157" s="50" t="n"/>
      <c r="L157" s="49" t="n"/>
      <c r="M157" s="49" t="n"/>
      <c r="N157" s="49" t="n"/>
      <c r="O157" s="49" t="n"/>
      <c r="P157" s="50" t="n"/>
      <c r="Q157" s="49" t="n"/>
      <c r="R157" s="56">
        <f>IF(Q157="","",IFERROR(VLOOKUP(Q157,Lookups!$A$2:$B$8,2,FALSE),""))</f>
        <v/>
      </c>
      <c r="S157" s="53">
        <f>IF(B157="","",B157&amp;"|"&amp;TEXT(C157,"00"))</f>
        <v/>
      </c>
      <c r="T157" s="53">
        <f>IF(B157="","",B157&amp;"|"&amp;TEXT(C157-1,"00"))</f>
        <v/>
      </c>
      <c r="U157" s="53">
        <f>IFERROR(INDEX($Q:$Q,MATCH(T157,$S:$S,0)),"")</f>
        <v/>
      </c>
      <c r="V157" s="56">
        <f>IFERROR(INDEX($R:$R,MATCH(T157,$S:$S,0)),"")</f>
        <v/>
      </c>
      <c r="W157" s="56">
        <f>IF(U157="","",IF(Q157&lt;&gt;U157,1,0))</f>
        <v/>
      </c>
      <c r="X157" s="56">
        <f>IF(V157="","",IF(R157&lt;V157,1,0))</f>
        <v/>
      </c>
      <c r="Y157" s="56">
        <f>IF(V157="","",IF(R157&gt;V157,1,0))</f>
        <v/>
      </c>
      <c r="Z157" s="56">
        <f>IF(Q157="Pass",1,0)</f>
        <v/>
      </c>
      <c r="AA157" s="50" t="n"/>
      <c r="AB157" s="50" t="n"/>
      <c r="AC157" s="49" t="n"/>
      <c r="AD157" s="50" t="n"/>
      <c r="AE157" s="49" t="n"/>
    </row>
    <row r="158" ht="15.75" customHeight="1" s="40">
      <c r="A158" s="48" t="n"/>
      <c r="B158" s="48" t="n"/>
      <c r="C158" s="47" t="n"/>
      <c r="D158" s="48" t="n"/>
      <c r="E158" s="48" t="n"/>
      <c r="F158" s="48" t="n"/>
      <c r="G158" s="47" t="n"/>
      <c r="H158" s="50" t="n"/>
      <c r="I158" s="50" t="n"/>
      <c r="J158" s="50" t="n"/>
      <c r="K158" s="50" t="n"/>
      <c r="L158" s="49" t="n"/>
      <c r="M158" s="49" t="n"/>
      <c r="N158" s="49" t="n"/>
      <c r="O158" s="49" t="n"/>
      <c r="P158" s="50" t="n"/>
      <c r="Q158" s="49" t="n"/>
      <c r="R158" s="56">
        <f>IF(Q158="","",IFERROR(VLOOKUP(Q158,Lookups!$A$2:$B$8,2,FALSE),""))</f>
        <v/>
      </c>
      <c r="S158" s="53">
        <f>IF(B158="","",B158&amp;"|"&amp;TEXT(C158,"00"))</f>
        <v/>
      </c>
      <c r="T158" s="53">
        <f>IF(B158="","",B158&amp;"|"&amp;TEXT(C158-1,"00"))</f>
        <v/>
      </c>
      <c r="U158" s="53">
        <f>IFERROR(INDEX($Q:$Q,MATCH(T158,$S:$S,0)),"")</f>
        <v/>
      </c>
      <c r="V158" s="56">
        <f>IFERROR(INDEX($R:$R,MATCH(T158,$S:$S,0)),"")</f>
        <v/>
      </c>
      <c r="W158" s="56">
        <f>IF(U158="","",IF(Q158&lt;&gt;U158,1,0))</f>
        <v/>
      </c>
      <c r="X158" s="56">
        <f>IF(V158="","",IF(R158&lt;V158,1,0))</f>
        <v/>
      </c>
      <c r="Y158" s="56">
        <f>IF(V158="","",IF(R158&gt;V158,1,0))</f>
        <v/>
      </c>
      <c r="Z158" s="56">
        <f>IF(Q158="Pass",1,0)</f>
        <v/>
      </c>
      <c r="AA158" s="50" t="n"/>
      <c r="AB158" s="50" t="n"/>
      <c r="AC158" s="49" t="n"/>
      <c r="AD158" s="50" t="n"/>
      <c r="AE158" s="49" t="n"/>
    </row>
    <row r="159" ht="15.75" customHeight="1" s="40">
      <c r="A159" s="48" t="n"/>
      <c r="B159" s="48" t="n"/>
      <c r="C159" s="47" t="n"/>
      <c r="D159" s="48" t="n"/>
      <c r="E159" s="48" t="n"/>
      <c r="F159" s="48" t="n"/>
      <c r="G159" s="47" t="n"/>
      <c r="H159" s="50" t="n"/>
      <c r="I159" s="50" t="n"/>
      <c r="J159" s="50" t="n"/>
      <c r="K159" s="50" t="n"/>
      <c r="L159" s="49" t="n"/>
      <c r="M159" s="49" t="n"/>
      <c r="N159" s="49" t="n"/>
      <c r="O159" s="49" t="n"/>
      <c r="P159" s="50" t="n"/>
      <c r="Q159" s="49" t="n"/>
      <c r="R159" s="56">
        <f>IF(Q159="","",IFERROR(VLOOKUP(Q159,Lookups!$A$2:$B$8,2,FALSE),""))</f>
        <v/>
      </c>
      <c r="S159" s="53">
        <f>IF(B159="","",B159&amp;"|"&amp;TEXT(C159,"00"))</f>
        <v/>
      </c>
      <c r="T159" s="53">
        <f>IF(B159="","",B159&amp;"|"&amp;TEXT(C159-1,"00"))</f>
        <v/>
      </c>
      <c r="U159" s="53">
        <f>IFERROR(INDEX($Q:$Q,MATCH(T159,$S:$S,0)),"")</f>
        <v/>
      </c>
      <c r="V159" s="56">
        <f>IFERROR(INDEX($R:$R,MATCH(T159,$S:$S,0)),"")</f>
        <v/>
      </c>
      <c r="W159" s="56">
        <f>IF(U159="","",IF(Q159&lt;&gt;U159,1,0))</f>
        <v/>
      </c>
      <c r="X159" s="56">
        <f>IF(V159="","",IF(R159&lt;V159,1,0))</f>
        <v/>
      </c>
      <c r="Y159" s="56">
        <f>IF(V159="","",IF(R159&gt;V159,1,0))</f>
        <v/>
      </c>
      <c r="Z159" s="56">
        <f>IF(Q159="Pass",1,0)</f>
        <v/>
      </c>
      <c r="AA159" s="50" t="n"/>
      <c r="AB159" s="50" t="n"/>
      <c r="AC159" s="49" t="n"/>
      <c r="AD159" s="50" t="n"/>
      <c r="AE159" s="49" t="n"/>
    </row>
    <row r="160" ht="15.75" customHeight="1" s="40">
      <c r="A160" s="48" t="n"/>
      <c r="B160" s="48" t="n"/>
      <c r="C160" s="47" t="n"/>
      <c r="D160" s="48" t="n"/>
      <c r="E160" s="48" t="n"/>
      <c r="F160" s="48" t="n"/>
      <c r="G160" s="47" t="n"/>
      <c r="H160" s="50" t="n"/>
      <c r="I160" s="50" t="n"/>
      <c r="J160" s="50" t="n"/>
      <c r="K160" s="50" t="n"/>
      <c r="L160" s="49" t="n"/>
      <c r="M160" s="49" t="n"/>
      <c r="N160" s="49" t="n"/>
      <c r="O160" s="49" t="n"/>
      <c r="P160" s="50" t="n"/>
      <c r="Q160" s="49" t="n"/>
      <c r="R160" s="56">
        <f>IF(Q160="","",IFERROR(VLOOKUP(Q160,Lookups!$A$2:$B$8,2,FALSE),""))</f>
        <v/>
      </c>
      <c r="S160" s="53">
        <f>IF(B160="","",B160&amp;"|"&amp;TEXT(C160,"00"))</f>
        <v/>
      </c>
      <c r="T160" s="53">
        <f>IF(B160="","",B160&amp;"|"&amp;TEXT(C160-1,"00"))</f>
        <v/>
      </c>
      <c r="U160" s="53">
        <f>IFERROR(INDEX($Q:$Q,MATCH(T160,$S:$S,0)),"")</f>
        <v/>
      </c>
      <c r="V160" s="56">
        <f>IFERROR(INDEX($R:$R,MATCH(T160,$S:$S,0)),"")</f>
        <v/>
      </c>
      <c r="W160" s="56">
        <f>IF(U160="","",IF(Q160&lt;&gt;U160,1,0))</f>
        <v/>
      </c>
      <c r="X160" s="56">
        <f>IF(V160="","",IF(R160&lt;V160,1,0))</f>
        <v/>
      </c>
      <c r="Y160" s="56">
        <f>IF(V160="","",IF(R160&gt;V160,1,0))</f>
        <v/>
      </c>
      <c r="Z160" s="56">
        <f>IF(Q160="Pass",1,0)</f>
        <v/>
      </c>
      <c r="AA160" s="50" t="n"/>
      <c r="AB160" s="50" t="n"/>
      <c r="AC160" s="49" t="n"/>
      <c r="AD160" s="50" t="n"/>
      <c r="AE160" s="49" t="n"/>
    </row>
    <row r="161" ht="15.75" customHeight="1" s="40">
      <c r="A161" s="48" t="n"/>
      <c r="B161" s="48" t="n"/>
      <c r="C161" s="47" t="n"/>
      <c r="D161" s="48" t="n"/>
      <c r="E161" s="48" t="n"/>
      <c r="F161" s="48" t="n"/>
      <c r="G161" s="47" t="n"/>
      <c r="H161" s="50" t="n"/>
      <c r="I161" s="50" t="n"/>
      <c r="J161" s="50" t="n"/>
      <c r="K161" s="50" t="n"/>
      <c r="L161" s="49" t="n"/>
      <c r="M161" s="49" t="n"/>
      <c r="N161" s="49" t="n"/>
      <c r="O161" s="49" t="n"/>
      <c r="P161" s="50" t="n"/>
      <c r="Q161" s="49" t="n"/>
      <c r="R161" s="56">
        <f>IF(Q161="","",IFERROR(VLOOKUP(Q161,Lookups!$A$2:$B$8,2,FALSE),""))</f>
        <v/>
      </c>
      <c r="S161" s="53">
        <f>IF(B161="","",B161&amp;"|"&amp;TEXT(C161,"00"))</f>
        <v/>
      </c>
      <c r="T161" s="53">
        <f>IF(B161="","",B161&amp;"|"&amp;TEXT(C161-1,"00"))</f>
        <v/>
      </c>
      <c r="U161" s="53">
        <f>IFERROR(INDEX($Q:$Q,MATCH(T161,$S:$S,0)),"")</f>
        <v/>
      </c>
      <c r="V161" s="56">
        <f>IFERROR(INDEX($R:$R,MATCH(T161,$S:$S,0)),"")</f>
        <v/>
      </c>
      <c r="W161" s="56">
        <f>IF(U161="","",IF(Q161&lt;&gt;U161,1,0))</f>
        <v/>
      </c>
      <c r="X161" s="56">
        <f>IF(V161="","",IF(R161&lt;V161,1,0))</f>
        <v/>
      </c>
      <c r="Y161" s="56">
        <f>IF(V161="","",IF(R161&gt;V161,1,0))</f>
        <v/>
      </c>
      <c r="Z161" s="56">
        <f>IF(Q161="Pass",1,0)</f>
        <v/>
      </c>
      <c r="AA161" s="50" t="n"/>
      <c r="AB161" s="50" t="n"/>
      <c r="AC161" s="49" t="n"/>
      <c r="AD161" s="50" t="n"/>
      <c r="AE161" s="49" t="n"/>
    </row>
    <row r="162" ht="15.75" customHeight="1" s="40">
      <c r="A162" s="48" t="n"/>
      <c r="B162" s="48" t="n"/>
      <c r="C162" s="47" t="n"/>
      <c r="D162" s="48" t="n"/>
      <c r="E162" s="48" t="n"/>
      <c r="F162" s="48" t="n"/>
      <c r="G162" s="47" t="n"/>
      <c r="H162" s="50" t="n"/>
      <c r="I162" s="50" t="n"/>
      <c r="J162" s="50" t="n"/>
      <c r="K162" s="50" t="n"/>
      <c r="L162" s="49" t="n"/>
      <c r="M162" s="49" t="n"/>
      <c r="N162" s="49" t="n"/>
      <c r="O162" s="49" t="n"/>
      <c r="P162" s="50" t="n"/>
      <c r="Q162" s="49" t="n"/>
      <c r="R162" s="56">
        <f>IF(Q162="","",IFERROR(VLOOKUP(Q162,Lookups!$A$2:$B$8,2,FALSE),""))</f>
        <v/>
      </c>
      <c r="S162" s="53">
        <f>IF(B162="","",B162&amp;"|"&amp;TEXT(C162,"00"))</f>
        <v/>
      </c>
      <c r="T162" s="53">
        <f>IF(B162="","",B162&amp;"|"&amp;TEXT(C162-1,"00"))</f>
        <v/>
      </c>
      <c r="U162" s="53">
        <f>IFERROR(INDEX($Q:$Q,MATCH(T162,$S:$S,0)),"")</f>
        <v/>
      </c>
      <c r="V162" s="56">
        <f>IFERROR(INDEX($R:$R,MATCH(T162,$S:$S,0)),"")</f>
        <v/>
      </c>
      <c r="W162" s="56">
        <f>IF(U162="","",IF(Q162&lt;&gt;U162,1,0))</f>
        <v/>
      </c>
      <c r="X162" s="56">
        <f>IF(V162="","",IF(R162&lt;V162,1,0))</f>
        <v/>
      </c>
      <c r="Y162" s="56">
        <f>IF(V162="","",IF(R162&gt;V162,1,0))</f>
        <v/>
      </c>
      <c r="Z162" s="56">
        <f>IF(Q162="Pass",1,0)</f>
        <v/>
      </c>
      <c r="AA162" s="50" t="n"/>
      <c r="AB162" s="50" t="n"/>
      <c r="AC162" s="49" t="n"/>
      <c r="AD162" s="50" t="n"/>
      <c r="AE162" s="49" t="n"/>
    </row>
    <row r="163" ht="15.75" customHeight="1" s="40">
      <c r="A163" s="48" t="n"/>
      <c r="B163" s="48" t="n"/>
      <c r="C163" s="47" t="n"/>
      <c r="D163" s="48" t="n"/>
      <c r="E163" s="48" t="n"/>
      <c r="F163" s="48" t="n"/>
      <c r="G163" s="47" t="n"/>
      <c r="H163" s="50" t="n"/>
      <c r="I163" s="50" t="n"/>
      <c r="J163" s="50" t="n"/>
      <c r="K163" s="50" t="n"/>
      <c r="L163" s="49" t="n"/>
      <c r="M163" s="49" t="n"/>
      <c r="N163" s="49" t="n"/>
      <c r="O163" s="49" t="n"/>
      <c r="P163" s="50" t="n"/>
      <c r="Q163" s="49" t="n"/>
      <c r="R163" s="56">
        <f>IF(Q163="","",IFERROR(VLOOKUP(Q163,Lookups!$A$2:$B$8,2,FALSE),""))</f>
        <v/>
      </c>
      <c r="S163" s="53">
        <f>IF(B163="","",B163&amp;"|"&amp;TEXT(C163,"00"))</f>
        <v/>
      </c>
      <c r="T163" s="53">
        <f>IF(B163="","",B163&amp;"|"&amp;TEXT(C163-1,"00"))</f>
        <v/>
      </c>
      <c r="U163" s="53">
        <f>IFERROR(INDEX($Q:$Q,MATCH(T163,$S:$S,0)),"")</f>
        <v/>
      </c>
      <c r="V163" s="56">
        <f>IFERROR(INDEX($R:$R,MATCH(T163,$S:$S,0)),"")</f>
        <v/>
      </c>
      <c r="W163" s="56">
        <f>IF(U163="","",IF(Q163&lt;&gt;U163,1,0))</f>
        <v/>
      </c>
      <c r="X163" s="56">
        <f>IF(V163="","",IF(R163&lt;V163,1,0))</f>
        <v/>
      </c>
      <c r="Y163" s="56">
        <f>IF(V163="","",IF(R163&gt;V163,1,0))</f>
        <v/>
      </c>
      <c r="Z163" s="56">
        <f>IF(Q163="Pass",1,0)</f>
        <v/>
      </c>
      <c r="AA163" s="50" t="n"/>
      <c r="AB163" s="50" t="n"/>
      <c r="AC163" s="49" t="n"/>
      <c r="AD163" s="50" t="n"/>
      <c r="AE163" s="49" t="n"/>
    </row>
    <row r="164" ht="15.75" customHeight="1" s="40">
      <c r="A164" s="48" t="n"/>
      <c r="B164" s="48" t="n"/>
      <c r="C164" s="47" t="n"/>
      <c r="D164" s="48" t="n"/>
      <c r="E164" s="48" t="n"/>
      <c r="F164" s="48" t="n"/>
      <c r="G164" s="47" t="n"/>
      <c r="H164" s="50" t="n"/>
      <c r="I164" s="50" t="n"/>
      <c r="J164" s="50" t="n"/>
      <c r="K164" s="50" t="n"/>
      <c r="L164" s="49" t="n"/>
      <c r="M164" s="49" t="n"/>
      <c r="N164" s="49" t="n"/>
      <c r="O164" s="49" t="n"/>
      <c r="P164" s="50" t="n"/>
      <c r="Q164" s="49" t="n"/>
      <c r="R164" s="56">
        <f>IF(Q164="","",IFERROR(VLOOKUP(Q164,Lookups!$A$2:$B$8,2,FALSE),""))</f>
        <v/>
      </c>
      <c r="S164" s="53">
        <f>IF(B164="","",B164&amp;"|"&amp;TEXT(C164,"00"))</f>
        <v/>
      </c>
      <c r="T164" s="53">
        <f>IF(B164="","",B164&amp;"|"&amp;TEXT(C164-1,"00"))</f>
        <v/>
      </c>
      <c r="U164" s="53">
        <f>IFERROR(INDEX($Q:$Q,MATCH(T164,$S:$S,0)),"")</f>
        <v/>
      </c>
      <c r="V164" s="56">
        <f>IFERROR(INDEX($R:$R,MATCH(T164,$S:$S,0)),"")</f>
        <v/>
      </c>
      <c r="W164" s="56">
        <f>IF(U164="","",IF(Q164&lt;&gt;U164,1,0))</f>
        <v/>
      </c>
      <c r="X164" s="56">
        <f>IF(V164="","",IF(R164&lt;V164,1,0))</f>
        <v/>
      </c>
      <c r="Y164" s="56">
        <f>IF(V164="","",IF(R164&gt;V164,1,0))</f>
        <v/>
      </c>
      <c r="Z164" s="56">
        <f>IF(Q164="Pass",1,0)</f>
        <v/>
      </c>
      <c r="AA164" s="50" t="n"/>
      <c r="AB164" s="50" t="n"/>
      <c r="AC164" s="49" t="n"/>
      <c r="AD164" s="50" t="n"/>
      <c r="AE164" s="49" t="n"/>
    </row>
    <row r="165" ht="15.75" customHeight="1" s="40">
      <c r="A165" s="48" t="n"/>
      <c r="B165" s="48" t="n"/>
      <c r="C165" s="47" t="n"/>
      <c r="D165" s="48" t="n"/>
      <c r="E165" s="48" t="n"/>
      <c r="F165" s="48" t="n"/>
      <c r="G165" s="47" t="n"/>
      <c r="H165" s="50" t="n"/>
      <c r="I165" s="50" t="n"/>
      <c r="J165" s="50" t="n"/>
      <c r="K165" s="50" t="n"/>
      <c r="L165" s="49" t="n"/>
      <c r="M165" s="49" t="n"/>
      <c r="N165" s="49" t="n"/>
      <c r="O165" s="49" t="n"/>
      <c r="P165" s="50" t="n"/>
      <c r="Q165" s="49" t="n"/>
      <c r="R165" s="56">
        <f>IF(Q165="","",IFERROR(VLOOKUP(Q165,Lookups!$A$2:$B$8,2,FALSE),""))</f>
        <v/>
      </c>
      <c r="S165" s="53">
        <f>IF(B165="","",B165&amp;"|"&amp;TEXT(C165,"00"))</f>
        <v/>
      </c>
      <c r="T165" s="53">
        <f>IF(B165="","",B165&amp;"|"&amp;TEXT(C165-1,"00"))</f>
        <v/>
      </c>
      <c r="U165" s="53">
        <f>IFERROR(INDEX($Q:$Q,MATCH(T165,$S:$S,0)),"")</f>
        <v/>
      </c>
      <c r="V165" s="56">
        <f>IFERROR(INDEX($R:$R,MATCH(T165,$S:$S,0)),"")</f>
        <v/>
      </c>
      <c r="W165" s="56">
        <f>IF(U165="","",IF(Q165&lt;&gt;U165,1,0))</f>
        <v/>
      </c>
      <c r="X165" s="56">
        <f>IF(V165="","",IF(R165&lt;V165,1,0))</f>
        <v/>
      </c>
      <c r="Y165" s="56">
        <f>IF(V165="","",IF(R165&gt;V165,1,0))</f>
        <v/>
      </c>
      <c r="Z165" s="56">
        <f>IF(Q165="Pass",1,0)</f>
        <v/>
      </c>
      <c r="AA165" s="50" t="n"/>
      <c r="AB165" s="50" t="n"/>
      <c r="AC165" s="49" t="n"/>
      <c r="AD165" s="50" t="n"/>
      <c r="AE165" s="49" t="n"/>
    </row>
    <row r="166" ht="15.75" customHeight="1" s="40">
      <c r="A166" s="48" t="n"/>
      <c r="B166" s="48" t="n"/>
      <c r="C166" s="47" t="n"/>
      <c r="D166" s="48" t="n"/>
      <c r="E166" s="48" t="n"/>
      <c r="F166" s="48" t="n"/>
      <c r="G166" s="47" t="n"/>
      <c r="H166" s="50" t="n"/>
      <c r="I166" s="50" t="n"/>
      <c r="J166" s="50" t="n"/>
      <c r="K166" s="50" t="n"/>
      <c r="L166" s="49" t="n"/>
      <c r="M166" s="49" t="n"/>
      <c r="N166" s="49" t="n"/>
      <c r="O166" s="49" t="n"/>
      <c r="P166" s="50" t="n"/>
      <c r="Q166" s="49" t="n"/>
      <c r="R166" s="56">
        <f>IF(Q166="","",IFERROR(VLOOKUP(Q166,Lookups!$A$2:$B$8,2,FALSE),""))</f>
        <v/>
      </c>
      <c r="S166" s="53">
        <f>IF(B166="","",B166&amp;"|"&amp;TEXT(C166,"00"))</f>
        <v/>
      </c>
      <c r="T166" s="53">
        <f>IF(B166="","",B166&amp;"|"&amp;TEXT(C166-1,"00"))</f>
        <v/>
      </c>
      <c r="U166" s="53">
        <f>IFERROR(INDEX($Q:$Q,MATCH(T166,$S:$S,0)),"")</f>
        <v/>
      </c>
      <c r="V166" s="56">
        <f>IFERROR(INDEX($R:$R,MATCH(T166,$S:$S,0)),"")</f>
        <v/>
      </c>
      <c r="W166" s="56">
        <f>IF(U166="","",IF(Q166&lt;&gt;U166,1,0))</f>
        <v/>
      </c>
      <c r="X166" s="56">
        <f>IF(V166="","",IF(R166&lt;V166,1,0))</f>
        <v/>
      </c>
      <c r="Y166" s="56">
        <f>IF(V166="","",IF(R166&gt;V166,1,0))</f>
        <v/>
      </c>
      <c r="Z166" s="56">
        <f>IF(Q166="Pass",1,0)</f>
        <v/>
      </c>
      <c r="AA166" s="50" t="n"/>
      <c r="AB166" s="50" t="n"/>
      <c r="AC166" s="49" t="n"/>
      <c r="AD166" s="50" t="n"/>
      <c r="AE166" s="49" t="n"/>
    </row>
    <row r="167" ht="15.75" customHeight="1" s="40">
      <c r="A167" s="48" t="n"/>
      <c r="B167" s="48" t="n"/>
      <c r="C167" s="47" t="n"/>
      <c r="D167" s="48" t="n"/>
      <c r="E167" s="48" t="n"/>
      <c r="F167" s="48" t="n"/>
      <c r="G167" s="47" t="n"/>
      <c r="H167" s="50" t="n"/>
      <c r="I167" s="50" t="n"/>
      <c r="J167" s="50" t="n"/>
      <c r="K167" s="50" t="n"/>
      <c r="L167" s="49" t="n"/>
      <c r="M167" s="49" t="n"/>
      <c r="N167" s="49" t="n"/>
      <c r="O167" s="49" t="n"/>
      <c r="P167" s="50" t="n"/>
      <c r="Q167" s="49" t="n"/>
      <c r="R167" s="56">
        <f>IF(Q167="","",IFERROR(VLOOKUP(Q167,Lookups!$A$2:$B$8,2,FALSE),""))</f>
        <v/>
      </c>
      <c r="S167" s="53">
        <f>IF(B167="","",B167&amp;"|"&amp;TEXT(C167,"00"))</f>
        <v/>
      </c>
      <c r="T167" s="53">
        <f>IF(B167="","",B167&amp;"|"&amp;TEXT(C167-1,"00"))</f>
        <v/>
      </c>
      <c r="U167" s="53">
        <f>IFERROR(INDEX($Q:$Q,MATCH(T167,$S:$S,0)),"")</f>
        <v/>
      </c>
      <c r="V167" s="56">
        <f>IFERROR(INDEX($R:$R,MATCH(T167,$S:$S,0)),"")</f>
        <v/>
      </c>
      <c r="W167" s="56">
        <f>IF(U167="","",IF(Q167&lt;&gt;U167,1,0))</f>
        <v/>
      </c>
      <c r="X167" s="56">
        <f>IF(V167="","",IF(R167&lt;V167,1,0))</f>
        <v/>
      </c>
      <c r="Y167" s="56">
        <f>IF(V167="","",IF(R167&gt;V167,1,0))</f>
        <v/>
      </c>
      <c r="Z167" s="56">
        <f>IF(Q167="Pass",1,0)</f>
        <v/>
      </c>
      <c r="AA167" s="50" t="n"/>
      <c r="AB167" s="50" t="n"/>
      <c r="AC167" s="49" t="n"/>
      <c r="AD167" s="50" t="n"/>
      <c r="AE167" s="49" t="n"/>
    </row>
    <row r="168" ht="15.75" customHeight="1" s="40">
      <c r="A168" s="48" t="n"/>
      <c r="B168" s="48" t="n"/>
      <c r="C168" s="47" t="n"/>
      <c r="D168" s="48" t="n"/>
      <c r="E168" s="48" t="n"/>
      <c r="F168" s="48" t="n"/>
      <c r="G168" s="47" t="n"/>
      <c r="H168" s="50" t="n"/>
      <c r="I168" s="50" t="n"/>
      <c r="J168" s="50" t="n"/>
      <c r="K168" s="50" t="n"/>
      <c r="L168" s="49" t="n"/>
      <c r="M168" s="49" t="n"/>
      <c r="N168" s="49" t="n"/>
      <c r="O168" s="49" t="n"/>
      <c r="P168" s="50" t="n"/>
      <c r="Q168" s="49" t="n"/>
      <c r="R168" s="56">
        <f>IF(Q168="","",IFERROR(VLOOKUP(Q168,Lookups!$A$2:$B$8,2,FALSE),""))</f>
        <v/>
      </c>
      <c r="S168" s="53">
        <f>IF(B168="","",B168&amp;"|"&amp;TEXT(C168,"00"))</f>
        <v/>
      </c>
      <c r="T168" s="53">
        <f>IF(B168="","",B168&amp;"|"&amp;TEXT(C168-1,"00"))</f>
        <v/>
      </c>
      <c r="U168" s="53">
        <f>IFERROR(INDEX($Q:$Q,MATCH(T168,$S:$S,0)),"")</f>
        <v/>
      </c>
      <c r="V168" s="56">
        <f>IFERROR(INDEX($R:$R,MATCH(T168,$S:$S,0)),"")</f>
        <v/>
      </c>
      <c r="W168" s="56">
        <f>IF(U168="","",IF(Q168&lt;&gt;U168,1,0))</f>
        <v/>
      </c>
      <c r="X168" s="56">
        <f>IF(V168="","",IF(R168&lt;V168,1,0))</f>
        <v/>
      </c>
      <c r="Y168" s="56">
        <f>IF(V168="","",IF(R168&gt;V168,1,0))</f>
        <v/>
      </c>
      <c r="Z168" s="56">
        <f>IF(Q168="Pass",1,0)</f>
        <v/>
      </c>
      <c r="AA168" s="50" t="n"/>
      <c r="AB168" s="50" t="n"/>
      <c r="AC168" s="49" t="n"/>
      <c r="AD168" s="50" t="n"/>
      <c r="AE168" s="49" t="n"/>
    </row>
    <row r="169" ht="15.75" customHeight="1" s="40">
      <c r="A169" s="48" t="n"/>
      <c r="B169" s="48" t="n"/>
      <c r="C169" s="47" t="n"/>
      <c r="D169" s="48" t="n"/>
      <c r="E169" s="48" t="n"/>
      <c r="F169" s="48" t="n"/>
      <c r="G169" s="47" t="n"/>
      <c r="H169" s="50" t="n"/>
      <c r="I169" s="50" t="n"/>
      <c r="J169" s="50" t="n"/>
      <c r="K169" s="50" t="n"/>
      <c r="L169" s="49" t="n"/>
      <c r="M169" s="49" t="n"/>
      <c r="N169" s="49" t="n"/>
      <c r="O169" s="49" t="n"/>
      <c r="P169" s="50" t="n"/>
      <c r="Q169" s="49" t="n"/>
      <c r="R169" s="56">
        <f>IF(Q169="","",IFERROR(VLOOKUP(Q169,Lookups!$A$2:$B$8,2,FALSE),""))</f>
        <v/>
      </c>
      <c r="S169" s="53">
        <f>IF(B169="","",B169&amp;"|"&amp;TEXT(C169,"00"))</f>
        <v/>
      </c>
      <c r="T169" s="53">
        <f>IF(B169="","",B169&amp;"|"&amp;TEXT(C169-1,"00"))</f>
        <v/>
      </c>
      <c r="U169" s="53">
        <f>IFERROR(INDEX($Q:$Q,MATCH(T169,$S:$S,0)),"")</f>
        <v/>
      </c>
      <c r="V169" s="56">
        <f>IFERROR(INDEX($R:$R,MATCH(T169,$S:$S,0)),"")</f>
        <v/>
      </c>
      <c r="W169" s="56">
        <f>IF(U169="","",IF(Q169&lt;&gt;U169,1,0))</f>
        <v/>
      </c>
      <c r="X169" s="56">
        <f>IF(V169="","",IF(R169&lt;V169,1,0))</f>
        <v/>
      </c>
      <c r="Y169" s="56">
        <f>IF(V169="","",IF(R169&gt;V169,1,0))</f>
        <v/>
      </c>
      <c r="Z169" s="56">
        <f>IF(Q169="Pass",1,0)</f>
        <v/>
      </c>
      <c r="AA169" s="50" t="n"/>
      <c r="AB169" s="50" t="n"/>
      <c r="AC169" s="49" t="n"/>
      <c r="AD169" s="50" t="n"/>
      <c r="AE169" s="49" t="n"/>
    </row>
    <row r="170" ht="15.75" customHeight="1" s="40">
      <c r="A170" s="48" t="n"/>
      <c r="B170" s="48" t="n"/>
      <c r="C170" s="47" t="n"/>
      <c r="D170" s="48" t="n"/>
      <c r="E170" s="48" t="n"/>
      <c r="F170" s="48" t="n"/>
      <c r="G170" s="47" t="n"/>
      <c r="H170" s="50" t="n"/>
      <c r="I170" s="50" t="n"/>
      <c r="J170" s="50" t="n"/>
      <c r="K170" s="50" t="n"/>
      <c r="L170" s="49" t="n"/>
      <c r="M170" s="49" t="n"/>
      <c r="N170" s="49" t="n"/>
      <c r="O170" s="49" t="n"/>
      <c r="P170" s="50" t="n"/>
      <c r="Q170" s="49" t="n"/>
      <c r="R170" s="56">
        <f>IF(Q170="","",IFERROR(VLOOKUP(Q170,Lookups!$A$2:$B$8,2,FALSE),""))</f>
        <v/>
      </c>
      <c r="S170" s="53">
        <f>IF(B170="","",B170&amp;"|"&amp;TEXT(C170,"00"))</f>
        <v/>
      </c>
      <c r="T170" s="53">
        <f>IF(B170="","",B170&amp;"|"&amp;TEXT(C170-1,"00"))</f>
        <v/>
      </c>
      <c r="U170" s="53">
        <f>IFERROR(INDEX($Q:$Q,MATCH(T170,$S:$S,0)),"")</f>
        <v/>
      </c>
      <c r="V170" s="56">
        <f>IFERROR(INDEX($R:$R,MATCH(T170,$S:$S,0)),"")</f>
        <v/>
      </c>
      <c r="W170" s="56">
        <f>IF(U170="","",IF(Q170&lt;&gt;U170,1,0))</f>
        <v/>
      </c>
      <c r="X170" s="56">
        <f>IF(V170="","",IF(R170&lt;V170,1,0))</f>
        <v/>
      </c>
      <c r="Y170" s="56">
        <f>IF(V170="","",IF(R170&gt;V170,1,0))</f>
        <v/>
      </c>
      <c r="Z170" s="56">
        <f>IF(Q170="Pass",1,0)</f>
        <v/>
      </c>
      <c r="AA170" s="50" t="n"/>
      <c r="AB170" s="50" t="n"/>
      <c r="AC170" s="49" t="n"/>
      <c r="AD170" s="50" t="n"/>
      <c r="AE170" s="49" t="n"/>
    </row>
    <row r="171" ht="15.75" customHeight="1" s="40">
      <c r="A171" s="48" t="n"/>
      <c r="B171" s="48" t="n"/>
      <c r="C171" s="47" t="n"/>
      <c r="D171" s="48" t="n"/>
      <c r="E171" s="48" t="n"/>
      <c r="F171" s="48" t="n"/>
      <c r="G171" s="47" t="n"/>
      <c r="H171" s="50" t="n"/>
      <c r="I171" s="50" t="n"/>
      <c r="J171" s="50" t="n"/>
      <c r="K171" s="50" t="n"/>
      <c r="L171" s="49" t="n"/>
      <c r="M171" s="49" t="n"/>
      <c r="N171" s="49" t="n"/>
      <c r="O171" s="49" t="n"/>
      <c r="P171" s="50" t="n"/>
      <c r="Q171" s="49" t="n"/>
      <c r="R171" s="56">
        <f>IF(Q171="","",IFERROR(VLOOKUP(Q171,Lookups!$A$2:$B$8,2,FALSE),""))</f>
        <v/>
      </c>
      <c r="S171" s="53">
        <f>IF(B171="","",B171&amp;"|"&amp;TEXT(C171,"00"))</f>
        <v/>
      </c>
      <c r="T171" s="53">
        <f>IF(B171="","",B171&amp;"|"&amp;TEXT(C171-1,"00"))</f>
        <v/>
      </c>
      <c r="U171" s="53">
        <f>IFERROR(INDEX($Q:$Q,MATCH(T171,$S:$S,0)),"")</f>
        <v/>
      </c>
      <c r="V171" s="56">
        <f>IFERROR(INDEX($R:$R,MATCH(T171,$S:$S,0)),"")</f>
        <v/>
      </c>
      <c r="W171" s="56">
        <f>IF(U171="","",IF(Q171&lt;&gt;U171,1,0))</f>
        <v/>
      </c>
      <c r="X171" s="56">
        <f>IF(V171="","",IF(R171&lt;V171,1,0))</f>
        <v/>
      </c>
      <c r="Y171" s="56">
        <f>IF(V171="","",IF(R171&gt;V171,1,0))</f>
        <v/>
      </c>
      <c r="Z171" s="56">
        <f>IF(Q171="Pass",1,0)</f>
        <v/>
      </c>
      <c r="AA171" s="50" t="n"/>
      <c r="AB171" s="50" t="n"/>
      <c r="AC171" s="49" t="n"/>
      <c r="AD171" s="50" t="n"/>
      <c r="AE171" s="49" t="n"/>
    </row>
    <row r="172" ht="15.75" customHeight="1" s="40">
      <c r="A172" s="48" t="n"/>
      <c r="B172" s="48" t="n"/>
      <c r="C172" s="47" t="n"/>
      <c r="D172" s="48" t="n"/>
      <c r="E172" s="48" t="n"/>
      <c r="F172" s="48" t="n"/>
      <c r="G172" s="47" t="n"/>
      <c r="H172" s="50" t="n"/>
      <c r="I172" s="50" t="n"/>
      <c r="J172" s="50" t="n"/>
      <c r="K172" s="50" t="n"/>
      <c r="L172" s="49" t="n"/>
      <c r="M172" s="49" t="n"/>
      <c r="N172" s="49" t="n"/>
      <c r="O172" s="49" t="n"/>
      <c r="P172" s="50" t="n"/>
      <c r="Q172" s="49" t="n"/>
      <c r="R172" s="56">
        <f>IF(Q172="","",IFERROR(VLOOKUP(Q172,Lookups!$A$2:$B$8,2,FALSE),""))</f>
        <v/>
      </c>
      <c r="S172" s="53">
        <f>IF(B172="","",B172&amp;"|"&amp;TEXT(C172,"00"))</f>
        <v/>
      </c>
      <c r="T172" s="53">
        <f>IF(B172="","",B172&amp;"|"&amp;TEXT(C172-1,"00"))</f>
        <v/>
      </c>
      <c r="U172" s="53">
        <f>IFERROR(INDEX($Q:$Q,MATCH(T172,$S:$S,0)),"")</f>
        <v/>
      </c>
      <c r="V172" s="56">
        <f>IFERROR(INDEX($R:$R,MATCH(T172,$S:$S,0)),"")</f>
        <v/>
      </c>
      <c r="W172" s="56">
        <f>IF(U172="","",IF(Q172&lt;&gt;U172,1,0))</f>
        <v/>
      </c>
      <c r="X172" s="56">
        <f>IF(V172="","",IF(R172&lt;V172,1,0))</f>
        <v/>
      </c>
      <c r="Y172" s="56">
        <f>IF(V172="","",IF(R172&gt;V172,1,0))</f>
        <v/>
      </c>
      <c r="Z172" s="56">
        <f>IF(Q172="Pass",1,0)</f>
        <v/>
      </c>
      <c r="AA172" s="50" t="n"/>
      <c r="AB172" s="50" t="n"/>
      <c r="AC172" s="49" t="n"/>
      <c r="AD172" s="50" t="n"/>
      <c r="AE172" s="49" t="n"/>
    </row>
    <row r="173" ht="15.75" customHeight="1" s="40">
      <c r="A173" s="48" t="n"/>
      <c r="B173" s="48" t="n"/>
      <c r="C173" s="47" t="n"/>
      <c r="D173" s="48" t="n"/>
      <c r="E173" s="48" t="n"/>
      <c r="F173" s="48" t="n"/>
      <c r="G173" s="47" t="n"/>
      <c r="H173" s="50" t="n"/>
      <c r="I173" s="50" t="n"/>
      <c r="J173" s="50" t="n"/>
      <c r="K173" s="50" t="n"/>
      <c r="L173" s="49" t="n"/>
      <c r="M173" s="49" t="n"/>
      <c r="N173" s="49" t="n"/>
      <c r="O173" s="49" t="n"/>
      <c r="P173" s="50" t="n"/>
      <c r="Q173" s="49" t="n"/>
      <c r="R173" s="56">
        <f>IF(Q173="","",IFERROR(VLOOKUP(Q173,Lookups!$A$2:$B$8,2,FALSE),""))</f>
        <v/>
      </c>
      <c r="S173" s="53">
        <f>IF(B173="","",B173&amp;"|"&amp;TEXT(C173,"00"))</f>
        <v/>
      </c>
      <c r="T173" s="53">
        <f>IF(B173="","",B173&amp;"|"&amp;TEXT(C173-1,"00"))</f>
        <v/>
      </c>
      <c r="U173" s="53">
        <f>IFERROR(INDEX($Q:$Q,MATCH(T173,$S:$S,0)),"")</f>
        <v/>
      </c>
      <c r="V173" s="56">
        <f>IFERROR(INDEX($R:$R,MATCH(T173,$S:$S,0)),"")</f>
        <v/>
      </c>
      <c r="W173" s="56">
        <f>IF(U173="","",IF(Q173&lt;&gt;U173,1,0))</f>
        <v/>
      </c>
      <c r="X173" s="56">
        <f>IF(V173="","",IF(R173&lt;V173,1,0))</f>
        <v/>
      </c>
      <c r="Y173" s="56">
        <f>IF(V173="","",IF(R173&gt;V173,1,0))</f>
        <v/>
      </c>
      <c r="Z173" s="56">
        <f>IF(Q173="Pass",1,0)</f>
        <v/>
      </c>
      <c r="AA173" s="50" t="n"/>
      <c r="AB173" s="50" t="n"/>
      <c r="AC173" s="49" t="n"/>
      <c r="AD173" s="50" t="n"/>
      <c r="AE173" s="49" t="n"/>
    </row>
    <row r="174" ht="15.75" customHeight="1" s="40">
      <c r="A174" s="48" t="n"/>
      <c r="B174" s="48" t="n"/>
      <c r="C174" s="47" t="n"/>
      <c r="D174" s="48" t="n"/>
      <c r="E174" s="48" t="n"/>
      <c r="F174" s="48" t="n"/>
      <c r="G174" s="47" t="n"/>
      <c r="H174" s="50" t="n"/>
      <c r="I174" s="50" t="n"/>
      <c r="J174" s="50" t="n"/>
      <c r="K174" s="50" t="n"/>
      <c r="L174" s="49" t="n"/>
      <c r="M174" s="49" t="n"/>
      <c r="N174" s="49" t="n"/>
      <c r="O174" s="49" t="n"/>
      <c r="P174" s="50" t="n"/>
      <c r="Q174" s="49" t="n"/>
      <c r="R174" s="56">
        <f>IF(Q174="","",IFERROR(VLOOKUP(Q174,Lookups!$A$2:$B$8,2,FALSE),""))</f>
        <v/>
      </c>
      <c r="S174" s="53">
        <f>IF(B174="","",B174&amp;"|"&amp;TEXT(C174,"00"))</f>
        <v/>
      </c>
      <c r="T174" s="53">
        <f>IF(B174="","",B174&amp;"|"&amp;TEXT(C174-1,"00"))</f>
        <v/>
      </c>
      <c r="U174" s="53">
        <f>IFERROR(INDEX($Q:$Q,MATCH(T174,$S:$S,0)),"")</f>
        <v/>
      </c>
      <c r="V174" s="56">
        <f>IFERROR(INDEX($R:$R,MATCH(T174,$S:$S,0)),"")</f>
        <v/>
      </c>
      <c r="W174" s="56">
        <f>IF(U174="","",IF(Q174&lt;&gt;U174,1,0))</f>
        <v/>
      </c>
      <c r="X174" s="56">
        <f>IF(V174="","",IF(R174&lt;V174,1,0))</f>
        <v/>
      </c>
      <c r="Y174" s="56">
        <f>IF(V174="","",IF(R174&gt;V174,1,0))</f>
        <v/>
      </c>
      <c r="Z174" s="56">
        <f>IF(Q174="Pass",1,0)</f>
        <v/>
      </c>
      <c r="AA174" s="50" t="n"/>
      <c r="AB174" s="50" t="n"/>
      <c r="AC174" s="49" t="n"/>
      <c r="AD174" s="50" t="n"/>
      <c r="AE174" s="49" t="n"/>
    </row>
    <row r="175" ht="15.75" customHeight="1" s="40">
      <c r="A175" s="48" t="n"/>
      <c r="B175" s="48" t="n"/>
      <c r="C175" s="47" t="n"/>
      <c r="D175" s="48" t="n"/>
      <c r="E175" s="48" t="n"/>
      <c r="F175" s="48" t="n"/>
      <c r="G175" s="47" t="n"/>
      <c r="H175" s="50" t="n"/>
      <c r="I175" s="50" t="n"/>
      <c r="J175" s="50" t="n"/>
      <c r="K175" s="50" t="n"/>
      <c r="L175" s="49" t="n"/>
      <c r="M175" s="49" t="n"/>
      <c r="N175" s="49" t="n"/>
      <c r="O175" s="49" t="n"/>
      <c r="P175" s="50" t="n"/>
      <c r="Q175" s="49" t="n"/>
      <c r="R175" s="56">
        <f>IF(Q175="","",IFERROR(VLOOKUP(Q175,Lookups!$A$2:$B$8,2,FALSE),""))</f>
        <v/>
      </c>
      <c r="S175" s="53">
        <f>IF(B175="","",B175&amp;"|"&amp;TEXT(C175,"00"))</f>
        <v/>
      </c>
      <c r="T175" s="53">
        <f>IF(B175="","",B175&amp;"|"&amp;TEXT(C175-1,"00"))</f>
        <v/>
      </c>
      <c r="U175" s="53">
        <f>IFERROR(INDEX($Q:$Q,MATCH(T175,$S:$S,0)),"")</f>
        <v/>
      </c>
      <c r="V175" s="56">
        <f>IFERROR(INDEX($R:$R,MATCH(T175,$S:$S,0)),"")</f>
        <v/>
      </c>
      <c r="W175" s="56">
        <f>IF(U175="","",IF(Q175&lt;&gt;U175,1,0))</f>
        <v/>
      </c>
      <c r="X175" s="56">
        <f>IF(V175="","",IF(R175&lt;V175,1,0))</f>
        <v/>
      </c>
      <c r="Y175" s="56">
        <f>IF(V175="","",IF(R175&gt;V175,1,0))</f>
        <v/>
      </c>
      <c r="Z175" s="56">
        <f>IF(Q175="Pass",1,0)</f>
        <v/>
      </c>
      <c r="AA175" s="50" t="n"/>
      <c r="AB175" s="50" t="n"/>
      <c r="AC175" s="49" t="n"/>
      <c r="AD175" s="50" t="n"/>
      <c r="AE175" s="49" t="n"/>
    </row>
    <row r="176" ht="15.75" customHeight="1" s="40">
      <c r="A176" s="48" t="n"/>
      <c r="B176" s="48" t="n"/>
      <c r="C176" s="47" t="n"/>
      <c r="D176" s="48" t="n"/>
      <c r="E176" s="48" t="n"/>
      <c r="F176" s="48" t="n"/>
      <c r="G176" s="47" t="n"/>
      <c r="H176" s="50" t="n"/>
      <c r="I176" s="50" t="n"/>
      <c r="J176" s="50" t="n"/>
      <c r="K176" s="50" t="n"/>
      <c r="L176" s="49" t="n"/>
      <c r="M176" s="49" t="n"/>
      <c r="N176" s="49" t="n"/>
      <c r="O176" s="49" t="n"/>
      <c r="P176" s="50" t="n"/>
      <c r="Q176" s="49" t="n"/>
      <c r="R176" s="56">
        <f>IF(Q176="","",IFERROR(VLOOKUP(Q176,Lookups!$A$2:$B$8,2,FALSE),""))</f>
        <v/>
      </c>
      <c r="S176" s="53">
        <f>IF(B176="","",B176&amp;"|"&amp;TEXT(C176,"00"))</f>
        <v/>
      </c>
      <c r="T176" s="53">
        <f>IF(B176="","",B176&amp;"|"&amp;TEXT(C176-1,"00"))</f>
        <v/>
      </c>
      <c r="U176" s="53">
        <f>IFERROR(INDEX($Q:$Q,MATCH(T176,$S:$S,0)),"")</f>
        <v/>
      </c>
      <c r="V176" s="56">
        <f>IFERROR(INDEX($R:$R,MATCH(T176,$S:$S,0)),"")</f>
        <v/>
      </c>
      <c r="W176" s="56">
        <f>IF(U176="","",IF(Q176&lt;&gt;U176,1,0))</f>
        <v/>
      </c>
      <c r="X176" s="56">
        <f>IF(V176="","",IF(R176&lt;V176,1,0))</f>
        <v/>
      </c>
      <c r="Y176" s="56">
        <f>IF(V176="","",IF(R176&gt;V176,1,0))</f>
        <v/>
      </c>
      <c r="Z176" s="56">
        <f>IF(Q176="Pass",1,0)</f>
        <v/>
      </c>
      <c r="AA176" s="50" t="n"/>
      <c r="AB176" s="50" t="n"/>
      <c r="AC176" s="49" t="n"/>
      <c r="AD176" s="50" t="n"/>
      <c r="AE176" s="49" t="n"/>
    </row>
    <row r="177" ht="15.75" customHeight="1" s="40">
      <c r="A177" s="48" t="n"/>
      <c r="B177" s="48" t="n"/>
      <c r="C177" s="47" t="n"/>
      <c r="D177" s="48" t="n"/>
      <c r="E177" s="48" t="n"/>
      <c r="F177" s="48" t="n"/>
      <c r="G177" s="47" t="n"/>
      <c r="H177" s="50" t="n"/>
      <c r="I177" s="50" t="n"/>
      <c r="J177" s="50" t="n"/>
      <c r="K177" s="50" t="n"/>
      <c r="L177" s="49" t="n"/>
      <c r="M177" s="49" t="n"/>
      <c r="N177" s="49" t="n"/>
      <c r="O177" s="49" t="n"/>
      <c r="P177" s="50" t="n"/>
      <c r="Q177" s="49" t="n"/>
      <c r="R177" s="56">
        <f>IF(Q177="","",IFERROR(VLOOKUP(Q177,Lookups!$A$2:$B$8,2,FALSE),""))</f>
        <v/>
      </c>
      <c r="S177" s="53">
        <f>IF(B177="","",B177&amp;"|"&amp;TEXT(C177,"00"))</f>
        <v/>
      </c>
      <c r="T177" s="53">
        <f>IF(B177="","",B177&amp;"|"&amp;TEXT(C177-1,"00"))</f>
        <v/>
      </c>
      <c r="U177" s="53">
        <f>IFERROR(INDEX($Q:$Q,MATCH(T177,$S:$S,0)),"")</f>
        <v/>
      </c>
      <c r="V177" s="56">
        <f>IFERROR(INDEX($R:$R,MATCH(T177,$S:$S,0)),"")</f>
        <v/>
      </c>
      <c r="W177" s="56">
        <f>IF(U177="","",IF(Q177&lt;&gt;U177,1,0))</f>
        <v/>
      </c>
      <c r="X177" s="56">
        <f>IF(V177="","",IF(R177&lt;V177,1,0))</f>
        <v/>
      </c>
      <c r="Y177" s="56">
        <f>IF(V177="","",IF(R177&gt;V177,1,0))</f>
        <v/>
      </c>
      <c r="Z177" s="56">
        <f>IF(Q177="Pass",1,0)</f>
        <v/>
      </c>
      <c r="AA177" s="50" t="n"/>
      <c r="AB177" s="50" t="n"/>
      <c r="AC177" s="49" t="n"/>
      <c r="AD177" s="50" t="n"/>
      <c r="AE177" s="49" t="n"/>
    </row>
    <row r="178" ht="15.75" customHeight="1" s="40">
      <c r="A178" s="48" t="n"/>
      <c r="B178" s="48" t="n"/>
      <c r="C178" s="47" t="n"/>
      <c r="D178" s="48" t="n"/>
      <c r="E178" s="48" t="n"/>
      <c r="F178" s="48" t="n"/>
      <c r="G178" s="47" t="n"/>
      <c r="H178" s="50" t="n"/>
      <c r="I178" s="50" t="n"/>
      <c r="J178" s="50" t="n"/>
      <c r="K178" s="50" t="n"/>
      <c r="L178" s="49" t="n"/>
      <c r="M178" s="49" t="n"/>
      <c r="N178" s="49" t="n"/>
      <c r="O178" s="49" t="n"/>
      <c r="P178" s="50" t="n"/>
      <c r="Q178" s="49" t="n"/>
      <c r="R178" s="56">
        <f>IF(Q178="","",IFERROR(VLOOKUP(Q178,Lookups!$A$2:$B$8,2,FALSE),""))</f>
        <v/>
      </c>
      <c r="S178" s="53">
        <f>IF(B178="","",B178&amp;"|"&amp;TEXT(C178,"00"))</f>
        <v/>
      </c>
      <c r="T178" s="53">
        <f>IF(B178="","",B178&amp;"|"&amp;TEXT(C178-1,"00"))</f>
        <v/>
      </c>
      <c r="U178" s="53">
        <f>IFERROR(INDEX($Q:$Q,MATCH(T178,$S:$S,0)),"")</f>
        <v/>
      </c>
      <c r="V178" s="56">
        <f>IFERROR(INDEX($R:$R,MATCH(T178,$S:$S,0)),"")</f>
        <v/>
      </c>
      <c r="W178" s="56">
        <f>IF(U178="","",IF(Q178&lt;&gt;U178,1,0))</f>
        <v/>
      </c>
      <c r="X178" s="56">
        <f>IF(V178="","",IF(R178&lt;V178,1,0))</f>
        <v/>
      </c>
      <c r="Y178" s="56">
        <f>IF(V178="","",IF(R178&gt;V178,1,0))</f>
        <v/>
      </c>
      <c r="Z178" s="56">
        <f>IF(Q178="Pass",1,0)</f>
        <v/>
      </c>
      <c r="AA178" s="50" t="n"/>
      <c r="AB178" s="50" t="n"/>
      <c r="AC178" s="49" t="n"/>
      <c r="AD178" s="50" t="n"/>
      <c r="AE178" s="49" t="n"/>
    </row>
    <row r="179" ht="15.75" customHeight="1" s="40">
      <c r="A179" s="48" t="n"/>
      <c r="B179" s="48" t="n"/>
      <c r="C179" s="47" t="n"/>
      <c r="D179" s="48" t="n"/>
      <c r="E179" s="48" t="n"/>
      <c r="F179" s="48" t="n"/>
      <c r="G179" s="47" t="n"/>
      <c r="H179" s="50" t="n"/>
      <c r="I179" s="50" t="n"/>
      <c r="J179" s="50" t="n"/>
      <c r="K179" s="50" t="n"/>
      <c r="L179" s="49" t="n"/>
      <c r="M179" s="49" t="n"/>
      <c r="N179" s="49" t="n"/>
      <c r="O179" s="49" t="n"/>
      <c r="P179" s="50" t="n"/>
      <c r="Q179" s="49" t="n"/>
      <c r="R179" s="56">
        <f>IF(Q179="","",IFERROR(VLOOKUP(Q179,Lookups!$A$2:$B$8,2,FALSE),""))</f>
        <v/>
      </c>
      <c r="S179" s="53">
        <f>IF(B179="","",B179&amp;"|"&amp;TEXT(C179,"00"))</f>
        <v/>
      </c>
      <c r="T179" s="53">
        <f>IF(B179="","",B179&amp;"|"&amp;TEXT(C179-1,"00"))</f>
        <v/>
      </c>
      <c r="U179" s="53">
        <f>IFERROR(INDEX($Q:$Q,MATCH(T179,$S:$S,0)),"")</f>
        <v/>
      </c>
      <c r="V179" s="56">
        <f>IFERROR(INDEX($R:$R,MATCH(T179,$S:$S,0)),"")</f>
        <v/>
      </c>
      <c r="W179" s="56">
        <f>IF(U179="","",IF(Q179&lt;&gt;U179,1,0))</f>
        <v/>
      </c>
      <c r="X179" s="56">
        <f>IF(V179="","",IF(R179&lt;V179,1,0))</f>
        <v/>
      </c>
      <c r="Y179" s="56">
        <f>IF(V179="","",IF(R179&gt;V179,1,0))</f>
        <v/>
      </c>
      <c r="Z179" s="56">
        <f>IF(Q179="Pass",1,0)</f>
        <v/>
      </c>
      <c r="AA179" s="50" t="n"/>
      <c r="AB179" s="50" t="n"/>
      <c r="AC179" s="49" t="n"/>
      <c r="AD179" s="50" t="n"/>
      <c r="AE179" s="49" t="n"/>
    </row>
    <row r="180" ht="15.75" customHeight="1" s="40">
      <c r="A180" s="48" t="n"/>
      <c r="B180" s="48" t="n"/>
      <c r="C180" s="47" t="n"/>
      <c r="D180" s="48" t="n"/>
      <c r="E180" s="48" t="n"/>
      <c r="F180" s="48" t="n"/>
      <c r="G180" s="47" t="n"/>
      <c r="H180" s="50" t="n"/>
      <c r="I180" s="50" t="n"/>
      <c r="J180" s="50" t="n"/>
      <c r="K180" s="50" t="n"/>
      <c r="L180" s="49" t="n"/>
      <c r="M180" s="49" t="n"/>
      <c r="N180" s="49" t="n"/>
      <c r="O180" s="49" t="n"/>
      <c r="P180" s="50" t="n"/>
      <c r="Q180" s="49" t="n"/>
      <c r="R180" s="56">
        <f>IF(Q180="","",IFERROR(VLOOKUP(Q180,Lookups!$A$2:$B$8,2,FALSE),""))</f>
        <v/>
      </c>
      <c r="S180" s="53">
        <f>IF(B180="","",B180&amp;"|"&amp;TEXT(C180,"00"))</f>
        <v/>
      </c>
      <c r="T180" s="53">
        <f>IF(B180="","",B180&amp;"|"&amp;TEXT(C180-1,"00"))</f>
        <v/>
      </c>
      <c r="U180" s="53">
        <f>IFERROR(INDEX($Q:$Q,MATCH(T180,$S:$S,0)),"")</f>
        <v/>
      </c>
      <c r="V180" s="56">
        <f>IFERROR(INDEX($R:$R,MATCH(T180,$S:$S,0)),"")</f>
        <v/>
      </c>
      <c r="W180" s="56">
        <f>IF(U180="","",IF(Q180&lt;&gt;U180,1,0))</f>
        <v/>
      </c>
      <c r="X180" s="56">
        <f>IF(V180="","",IF(R180&lt;V180,1,0))</f>
        <v/>
      </c>
      <c r="Y180" s="56">
        <f>IF(V180="","",IF(R180&gt;V180,1,0))</f>
        <v/>
      </c>
      <c r="Z180" s="56">
        <f>IF(Q180="Pass",1,0)</f>
        <v/>
      </c>
      <c r="AA180" s="50" t="n"/>
      <c r="AB180" s="50" t="n"/>
      <c r="AC180" s="49" t="n"/>
      <c r="AD180" s="50" t="n"/>
      <c r="AE180" s="49" t="n"/>
    </row>
    <row r="181" ht="15.75" customHeight="1" s="40">
      <c r="A181" s="48" t="n"/>
      <c r="B181" s="48" t="n"/>
      <c r="C181" s="47" t="n"/>
      <c r="D181" s="48" t="n"/>
      <c r="E181" s="48" t="n"/>
      <c r="F181" s="48" t="n"/>
      <c r="G181" s="47" t="n"/>
      <c r="H181" s="50" t="n"/>
      <c r="I181" s="50" t="n"/>
      <c r="J181" s="50" t="n"/>
      <c r="K181" s="50" t="n"/>
      <c r="L181" s="49" t="n"/>
      <c r="M181" s="49" t="n"/>
      <c r="N181" s="49" t="n"/>
      <c r="O181" s="49" t="n"/>
      <c r="P181" s="50" t="n"/>
      <c r="Q181" s="49" t="n"/>
      <c r="R181" s="56">
        <f>IF(Q181="","",IFERROR(VLOOKUP(Q181,Lookups!$A$2:$B$8,2,FALSE),""))</f>
        <v/>
      </c>
      <c r="S181" s="53">
        <f>IF(B181="","",B181&amp;"|"&amp;TEXT(C181,"00"))</f>
        <v/>
      </c>
      <c r="T181" s="53">
        <f>IF(B181="","",B181&amp;"|"&amp;TEXT(C181-1,"00"))</f>
        <v/>
      </c>
      <c r="U181" s="53">
        <f>IFERROR(INDEX($Q:$Q,MATCH(T181,$S:$S,0)),"")</f>
        <v/>
      </c>
      <c r="V181" s="56">
        <f>IFERROR(INDEX($R:$R,MATCH(T181,$S:$S,0)),"")</f>
        <v/>
      </c>
      <c r="W181" s="56">
        <f>IF(U181="","",IF(Q181&lt;&gt;U181,1,0))</f>
        <v/>
      </c>
      <c r="X181" s="56">
        <f>IF(V181="","",IF(R181&lt;V181,1,0))</f>
        <v/>
      </c>
      <c r="Y181" s="56">
        <f>IF(V181="","",IF(R181&gt;V181,1,0))</f>
        <v/>
      </c>
      <c r="Z181" s="56">
        <f>IF(Q181="Pass",1,0)</f>
        <v/>
      </c>
      <c r="AA181" s="50" t="n"/>
      <c r="AB181" s="50" t="n"/>
      <c r="AC181" s="49" t="n"/>
      <c r="AD181" s="50" t="n"/>
      <c r="AE181" s="49" t="n"/>
    </row>
    <row r="182" ht="15.75" customHeight="1" s="40">
      <c r="A182" s="48" t="n"/>
      <c r="B182" s="48" t="n"/>
      <c r="C182" s="47" t="n"/>
      <c r="D182" s="48" t="n"/>
      <c r="E182" s="48" t="n"/>
      <c r="F182" s="48" t="n"/>
      <c r="G182" s="47" t="n"/>
      <c r="H182" s="50" t="n"/>
      <c r="I182" s="50" t="n"/>
      <c r="J182" s="50" t="n"/>
      <c r="K182" s="50" t="n"/>
      <c r="L182" s="49" t="n"/>
      <c r="M182" s="49" t="n"/>
      <c r="N182" s="49" t="n"/>
      <c r="O182" s="49" t="n"/>
      <c r="P182" s="50" t="n"/>
      <c r="Q182" s="49" t="n"/>
      <c r="R182" s="56">
        <f>IF(Q182="","",IFERROR(VLOOKUP(Q182,Lookups!$A$2:$B$8,2,FALSE),""))</f>
        <v/>
      </c>
      <c r="S182" s="53">
        <f>IF(B182="","",B182&amp;"|"&amp;TEXT(C182,"00"))</f>
        <v/>
      </c>
      <c r="T182" s="53">
        <f>IF(B182="","",B182&amp;"|"&amp;TEXT(C182-1,"00"))</f>
        <v/>
      </c>
      <c r="U182" s="53">
        <f>IFERROR(INDEX($Q:$Q,MATCH(T182,$S:$S,0)),"")</f>
        <v/>
      </c>
      <c r="V182" s="56">
        <f>IFERROR(INDEX($R:$R,MATCH(T182,$S:$S,0)),"")</f>
        <v/>
      </c>
      <c r="W182" s="56">
        <f>IF(U182="","",IF(Q182&lt;&gt;U182,1,0))</f>
        <v/>
      </c>
      <c r="X182" s="56">
        <f>IF(V182="","",IF(R182&lt;V182,1,0))</f>
        <v/>
      </c>
      <c r="Y182" s="56">
        <f>IF(V182="","",IF(R182&gt;V182,1,0))</f>
        <v/>
      </c>
      <c r="Z182" s="56">
        <f>IF(Q182="Pass",1,0)</f>
        <v/>
      </c>
      <c r="AA182" s="50" t="n"/>
      <c r="AB182" s="50" t="n"/>
      <c r="AC182" s="49" t="n"/>
      <c r="AD182" s="50" t="n"/>
      <c r="AE182" s="49" t="n"/>
    </row>
    <row r="183" ht="15.75" customHeight="1" s="40">
      <c r="A183" s="48" t="n"/>
      <c r="B183" s="48" t="n"/>
      <c r="C183" s="47" t="n"/>
      <c r="D183" s="48" t="n"/>
      <c r="E183" s="48" t="n"/>
      <c r="F183" s="48" t="n"/>
      <c r="G183" s="47" t="n"/>
      <c r="H183" s="50" t="n"/>
      <c r="I183" s="50" t="n"/>
      <c r="J183" s="50" t="n"/>
      <c r="K183" s="50" t="n"/>
      <c r="L183" s="49" t="n"/>
      <c r="M183" s="49" t="n"/>
      <c r="N183" s="49" t="n"/>
      <c r="O183" s="49" t="n"/>
      <c r="P183" s="50" t="n"/>
      <c r="Q183" s="49" t="n"/>
      <c r="R183" s="56">
        <f>IF(Q183="","",IFERROR(VLOOKUP(Q183,Lookups!$A$2:$B$8,2,FALSE),""))</f>
        <v/>
      </c>
      <c r="S183" s="53">
        <f>IF(B183="","",B183&amp;"|"&amp;TEXT(C183,"00"))</f>
        <v/>
      </c>
      <c r="T183" s="53">
        <f>IF(B183="","",B183&amp;"|"&amp;TEXT(C183-1,"00"))</f>
        <v/>
      </c>
      <c r="U183" s="53">
        <f>IFERROR(INDEX($Q:$Q,MATCH(T183,$S:$S,0)),"")</f>
        <v/>
      </c>
      <c r="V183" s="56">
        <f>IFERROR(INDEX($R:$R,MATCH(T183,$S:$S,0)),"")</f>
        <v/>
      </c>
      <c r="W183" s="56">
        <f>IF(U183="","",IF(Q183&lt;&gt;U183,1,0))</f>
        <v/>
      </c>
      <c r="X183" s="56">
        <f>IF(V183="","",IF(R183&lt;V183,1,0))</f>
        <v/>
      </c>
      <c r="Y183" s="56">
        <f>IF(V183="","",IF(R183&gt;V183,1,0))</f>
        <v/>
      </c>
      <c r="Z183" s="56">
        <f>IF(Q183="Pass",1,0)</f>
        <v/>
      </c>
      <c r="AA183" s="50" t="n"/>
      <c r="AB183" s="50" t="n"/>
      <c r="AC183" s="49" t="n"/>
      <c r="AD183" s="50" t="n"/>
      <c r="AE183" s="49" t="n"/>
    </row>
    <row r="184" ht="15.75" customHeight="1" s="40">
      <c r="A184" s="48" t="n"/>
      <c r="B184" s="48" t="n"/>
      <c r="C184" s="47" t="n"/>
      <c r="D184" s="48" t="n"/>
      <c r="E184" s="48" t="n"/>
      <c r="F184" s="48" t="n"/>
      <c r="G184" s="47" t="n"/>
      <c r="H184" s="50" t="n"/>
      <c r="I184" s="50" t="n"/>
      <c r="J184" s="50" t="n"/>
      <c r="K184" s="50" t="n"/>
      <c r="L184" s="49" t="n"/>
      <c r="M184" s="49" t="n"/>
      <c r="N184" s="49" t="n"/>
      <c r="O184" s="49" t="n"/>
      <c r="P184" s="50" t="n"/>
      <c r="Q184" s="49" t="n"/>
      <c r="R184" s="56">
        <f>IF(Q184="","",IFERROR(VLOOKUP(Q184,Lookups!$A$2:$B$8,2,FALSE),""))</f>
        <v/>
      </c>
      <c r="S184" s="53">
        <f>IF(B184="","",B184&amp;"|"&amp;TEXT(C184,"00"))</f>
        <v/>
      </c>
      <c r="T184" s="53">
        <f>IF(B184="","",B184&amp;"|"&amp;TEXT(C184-1,"00"))</f>
        <v/>
      </c>
      <c r="U184" s="53">
        <f>IFERROR(INDEX($Q:$Q,MATCH(T184,$S:$S,0)),"")</f>
        <v/>
      </c>
      <c r="V184" s="56">
        <f>IFERROR(INDEX($R:$R,MATCH(T184,$S:$S,0)),"")</f>
        <v/>
      </c>
      <c r="W184" s="56">
        <f>IF(U184="","",IF(Q184&lt;&gt;U184,1,0))</f>
        <v/>
      </c>
      <c r="X184" s="56">
        <f>IF(V184="","",IF(R184&lt;V184,1,0))</f>
        <v/>
      </c>
      <c r="Y184" s="56">
        <f>IF(V184="","",IF(R184&gt;V184,1,0))</f>
        <v/>
      </c>
      <c r="Z184" s="56">
        <f>IF(Q184="Pass",1,0)</f>
        <v/>
      </c>
      <c r="AA184" s="50" t="n"/>
      <c r="AB184" s="50" t="n"/>
      <c r="AC184" s="49" t="n"/>
      <c r="AD184" s="50" t="n"/>
      <c r="AE184" s="49" t="n"/>
    </row>
    <row r="185" ht="15.75" customHeight="1" s="40">
      <c r="A185" s="48" t="n"/>
      <c r="B185" s="48" t="n"/>
      <c r="C185" s="47" t="n"/>
      <c r="D185" s="48" t="n"/>
      <c r="E185" s="48" t="n"/>
      <c r="F185" s="48" t="n"/>
      <c r="G185" s="47" t="n"/>
      <c r="H185" s="50" t="n"/>
      <c r="I185" s="50" t="n"/>
      <c r="J185" s="50" t="n"/>
      <c r="K185" s="50" t="n"/>
      <c r="L185" s="49" t="n"/>
      <c r="M185" s="49" t="n"/>
      <c r="N185" s="49" t="n"/>
      <c r="O185" s="49" t="n"/>
      <c r="P185" s="50" t="n"/>
      <c r="Q185" s="49" t="n"/>
      <c r="R185" s="56">
        <f>IF(Q185="","",IFERROR(VLOOKUP(Q185,Lookups!$A$2:$B$8,2,FALSE),""))</f>
        <v/>
      </c>
      <c r="S185" s="53">
        <f>IF(B185="","",B185&amp;"|"&amp;TEXT(C185,"00"))</f>
        <v/>
      </c>
      <c r="T185" s="53">
        <f>IF(B185="","",B185&amp;"|"&amp;TEXT(C185-1,"00"))</f>
        <v/>
      </c>
      <c r="U185" s="53">
        <f>IFERROR(INDEX($Q:$Q,MATCH(T185,$S:$S,0)),"")</f>
        <v/>
      </c>
      <c r="V185" s="56">
        <f>IFERROR(INDEX($R:$R,MATCH(T185,$S:$S,0)),"")</f>
        <v/>
      </c>
      <c r="W185" s="56">
        <f>IF(U185="","",IF(Q185&lt;&gt;U185,1,0))</f>
        <v/>
      </c>
      <c r="X185" s="56">
        <f>IF(V185="","",IF(R185&lt;V185,1,0))</f>
        <v/>
      </c>
      <c r="Y185" s="56">
        <f>IF(V185="","",IF(R185&gt;V185,1,0))</f>
        <v/>
      </c>
      <c r="Z185" s="56">
        <f>IF(Q185="Pass",1,0)</f>
        <v/>
      </c>
      <c r="AA185" s="50" t="n"/>
      <c r="AB185" s="50" t="n"/>
      <c r="AC185" s="49" t="n"/>
      <c r="AD185" s="50" t="n"/>
      <c r="AE185" s="49" t="n"/>
    </row>
    <row r="186" ht="15.75" customHeight="1" s="40">
      <c r="A186" s="48" t="n"/>
      <c r="B186" s="48" t="n"/>
      <c r="C186" s="47" t="n"/>
      <c r="D186" s="48" t="n"/>
      <c r="E186" s="48" t="n"/>
      <c r="F186" s="48" t="n"/>
      <c r="G186" s="47" t="n"/>
      <c r="H186" s="50" t="n"/>
      <c r="I186" s="50" t="n"/>
      <c r="J186" s="50" t="n"/>
      <c r="K186" s="50" t="n"/>
      <c r="L186" s="49" t="n"/>
      <c r="M186" s="49" t="n"/>
      <c r="N186" s="49" t="n"/>
      <c r="O186" s="49" t="n"/>
      <c r="P186" s="50" t="n"/>
      <c r="Q186" s="49" t="n"/>
      <c r="R186" s="56">
        <f>IF(Q186="","",IFERROR(VLOOKUP(Q186,Lookups!$A$2:$B$8,2,FALSE),""))</f>
        <v/>
      </c>
      <c r="S186" s="53">
        <f>IF(B186="","",B186&amp;"|"&amp;TEXT(C186,"00"))</f>
        <v/>
      </c>
      <c r="T186" s="53">
        <f>IF(B186="","",B186&amp;"|"&amp;TEXT(C186-1,"00"))</f>
        <v/>
      </c>
      <c r="U186" s="53">
        <f>IFERROR(INDEX($Q:$Q,MATCH(T186,$S:$S,0)),"")</f>
        <v/>
      </c>
      <c r="V186" s="56">
        <f>IFERROR(INDEX($R:$R,MATCH(T186,$S:$S,0)),"")</f>
        <v/>
      </c>
      <c r="W186" s="56">
        <f>IF(U186="","",IF(Q186&lt;&gt;U186,1,0))</f>
        <v/>
      </c>
      <c r="X186" s="56">
        <f>IF(V186="","",IF(R186&lt;V186,1,0))</f>
        <v/>
      </c>
      <c r="Y186" s="56">
        <f>IF(V186="","",IF(R186&gt;V186,1,0))</f>
        <v/>
      </c>
      <c r="Z186" s="56">
        <f>IF(Q186="Pass",1,0)</f>
        <v/>
      </c>
      <c r="AA186" s="50" t="n"/>
      <c r="AB186" s="50" t="n"/>
      <c r="AC186" s="49" t="n"/>
      <c r="AD186" s="50" t="n"/>
      <c r="AE186" s="49" t="n"/>
    </row>
    <row r="187" ht="15.75" customHeight="1" s="40">
      <c r="A187" s="48" t="n"/>
      <c r="B187" s="48" t="n"/>
      <c r="C187" s="47" t="n"/>
      <c r="D187" s="48" t="n"/>
      <c r="E187" s="48" t="n"/>
      <c r="F187" s="48" t="n"/>
      <c r="G187" s="47" t="n"/>
      <c r="H187" s="50" t="n"/>
      <c r="I187" s="50" t="n"/>
      <c r="J187" s="50" t="n"/>
      <c r="K187" s="50" t="n"/>
      <c r="L187" s="49" t="n"/>
      <c r="M187" s="49" t="n"/>
      <c r="N187" s="49" t="n"/>
      <c r="O187" s="49" t="n"/>
      <c r="P187" s="50" t="n"/>
      <c r="Q187" s="49" t="n"/>
      <c r="R187" s="56">
        <f>IF(Q187="","",IFERROR(VLOOKUP(Q187,Lookups!$A$2:$B$8,2,FALSE),""))</f>
        <v/>
      </c>
      <c r="S187" s="53">
        <f>IF(B187="","",B187&amp;"|"&amp;TEXT(C187,"00"))</f>
        <v/>
      </c>
      <c r="T187" s="53">
        <f>IF(B187="","",B187&amp;"|"&amp;TEXT(C187-1,"00"))</f>
        <v/>
      </c>
      <c r="U187" s="53">
        <f>IFERROR(INDEX($Q:$Q,MATCH(T187,$S:$S,0)),"")</f>
        <v/>
      </c>
      <c r="V187" s="56">
        <f>IFERROR(INDEX($R:$R,MATCH(T187,$S:$S,0)),"")</f>
        <v/>
      </c>
      <c r="W187" s="56">
        <f>IF(U187="","",IF(Q187&lt;&gt;U187,1,0))</f>
        <v/>
      </c>
      <c r="X187" s="56">
        <f>IF(V187="","",IF(R187&lt;V187,1,0))</f>
        <v/>
      </c>
      <c r="Y187" s="56">
        <f>IF(V187="","",IF(R187&gt;V187,1,0))</f>
        <v/>
      </c>
      <c r="Z187" s="56">
        <f>IF(Q187="Pass",1,0)</f>
        <v/>
      </c>
      <c r="AA187" s="50" t="n"/>
      <c r="AB187" s="50" t="n"/>
      <c r="AC187" s="49" t="n"/>
      <c r="AD187" s="50" t="n"/>
      <c r="AE187" s="49" t="n"/>
    </row>
    <row r="188" ht="15.75" customHeight="1" s="40">
      <c r="A188" s="48" t="n"/>
      <c r="B188" s="48" t="n"/>
      <c r="C188" s="47" t="n"/>
      <c r="D188" s="48" t="n"/>
      <c r="E188" s="48" t="n"/>
      <c r="F188" s="48" t="n"/>
      <c r="G188" s="47" t="n"/>
      <c r="H188" s="50" t="n"/>
      <c r="I188" s="50" t="n"/>
      <c r="J188" s="50" t="n"/>
      <c r="K188" s="50" t="n"/>
      <c r="L188" s="49" t="n"/>
      <c r="M188" s="49" t="n"/>
      <c r="N188" s="49" t="n"/>
      <c r="O188" s="49" t="n"/>
      <c r="P188" s="50" t="n"/>
      <c r="Q188" s="49" t="n"/>
      <c r="R188" s="56">
        <f>IF(Q188="","",IFERROR(VLOOKUP(Q188,Lookups!$A$2:$B$8,2,FALSE),""))</f>
        <v/>
      </c>
      <c r="S188" s="53">
        <f>IF(B188="","",B188&amp;"|"&amp;TEXT(C188,"00"))</f>
        <v/>
      </c>
      <c r="T188" s="53">
        <f>IF(B188="","",B188&amp;"|"&amp;TEXT(C188-1,"00"))</f>
        <v/>
      </c>
      <c r="U188" s="53">
        <f>IFERROR(INDEX($Q:$Q,MATCH(T188,$S:$S,0)),"")</f>
        <v/>
      </c>
      <c r="V188" s="56">
        <f>IFERROR(INDEX($R:$R,MATCH(T188,$S:$S,0)),"")</f>
        <v/>
      </c>
      <c r="W188" s="56">
        <f>IF(U188="","",IF(Q188&lt;&gt;U188,1,0))</f>
        <v/>
      </c>
      <c r="X188" s="56">
        <f>IF(V188="","",IF(R188&lt;V188,1,0))</f>
        <v/>
      </c>
      <c r="Y188" s="56">
        <f>IF(V188="","",IF(R188&gt;V188,1,0))</f>
        <v/>
      </c>
      <c r="Z188" s="56">
        <f>IF(Q188="Pass",1,0)</f>
        <v/>
      </c>
      <c r="AA188" s="50" t="n"/>
      <c r="AB188" s="50" t="n"/>
      <c r="AC188" s="49" t="n"/>
      <c r="AD188" s="50" t="n"/>
      <c r="AE188" s="49" t="n"/>
    </row>
    <row r="189" ht="15.75" customHeight="1" s="40">
      <c r="A189" s="48" t="n"/>
      <c r="B189" s="48" t="n"/>
      <c r="C189" s="47" t="n"/>
      <c r="D189" s="48" t="n"/>
      <c r="E189" s="48" t="n"/>
      <c r="F189" s="48" t="n"/>
      <c r="G189" s="47" t="n"/>
      <c r="H189" s="50" t="n"/>
      <c r="I189" s="50" t="n"/>
      <c r="J189" s="50" t="n"/>
      <c r="K189" s="50" t="n"/>
      <c r="L189" s="49" t="n"/>
      <c r="M189" s="49" t="n"/>
      <c r="N189" s="49" t="n"/>
      <c r="O189" s="49" t="n"/>
      <c r="P189" s="50" t="n"/>
      <c r="Q189" s="49" t="n"/>
      <c r="R189" s="56">
        <f>IF(Q189="","",IFERROR(VLOOKUP(Q189,Lookups!$A$2:$B$8,2,FALSE),""))</f>
        <v/>
      </c>
      <c r="S189" s="53">
        <f>IF(B189="","",B189&amp;"|"&amp;TEXT(C189,"00"))</f>
        <v/>
      </c>
      <c r="T189" s="53">
        <f>IF(B189="","",B189&amp;"|"&amp;TEXT(C189-1,"00"))</f>
        <v/>
      </c>
      <c r="U189" s="53">
        <f>IFERROR(INDEX($Q:$Q,MATCH(T189,$S:$S,0)),"")</f>
        <v/>
      </c>
      <c r="V189" s="56">
        <f>IFERROR(INDEX($R:$R,MATCH(T189,$S:$S,0)),"")</f>
        <v/>
      </c>
      <c r="W189" s="56">
        <f>IF(U189="","",IF(Q189&lt;&gt;U189,1,0))</f>
        <v/>
      </c>
      <c r="X189" s="56">
        <f>IF(V189="","",IF(R189&lt;V189,1,0))</f>
        <v/>
      </c>
      <c r="Y189" s="56">
        <f>IF(V189="","",IF(R189&gt;V189,1,0))</f>
        <v/>
      </c>
      <c r="Z189" s="56">
        <f>IF(Q189="Pass",1,0)</f>
        <v/>
      </c>
      <c r="AA189" s="50" t="n"/>
      <c r="AB189" s="50" t="n"/>
      <c r="AC189" s="49" t="n"/>
      <c r="AD189" s="50" t="n"/>
      <c r="AE189" s="49" t="n"/>
    </row>
    <row r="190" ht="15.75" customHeight="1" s="40">
      <c r="A190" s="48" t="n"/>
      <c r="B190" s="48" t="n"/>
      <c r="C190" s="47" t="n"/>
      <c r="D190" s="48" t="n"/>
      <c r="E190" s="48" t="n"/>
      <c r="F190" s="48" t="n"/>
      <c r="G190" s="47" t="n"/>
      <c r="H190" s="50" t="n"/>
      <c r="I190" s="50" t="n"/>
      <c r="J190" s="50" t="n"/>
      <c r="K190" s="50" t="n"/>
      <c r="L190" s="49" t="n"/>
      <c r="M190" s="49" t="n"/>
      <c r="N190" s="49" t="n"/>
      <c r="O190" s="49" t="n"/>
      <c r="P190" s="50" t="n"/>
      <c r="Q190" s="49" t="n"/>
      <c r="R190" s="56">
        <f>IF(Q190="","",IFERROR(VLOOKUP(Q190,Lookups!$A$2:$B$8,2,FALSE),""))</f>
        <v/>
      </c>
      <c r="S190" s="53">
        <f>IF(B190="","",B190&amp;"|"&amp;TEXT(C190,"00"))</f>
        <v/>
      </c>
      <c r="T190" s="53">
        <f>IF(B190="","",B190&amp;"|"&amp;TEXT(C190-1,"00"))</f>
        <v/>
      </c>
      <c r="U190" s="53">
        <f>IFERROR(INDEX($Q:$Q,MATCH(T190,$S:$S,0)),"")</f>
        <v/>
      </c>
      <c r="V190" s="56">
        <f>IFERROR(INDEX($R:$R,MATCH(T190,$S:$S,0)),"")</f>
        <v/>
      </c>
      <c r="W190" s="56">
        <f>IF(U190="","",IF(Q190&lt;&gt;U190,1,0))</f>
        <v/>
      </c>
      <c r="X190" s="56">
        <f>IF(V190="","",IF(R190&lt;V190,1,0))</f>
        <v/>
      </c>
      <c r="Y190" s="56">
        <f>IF(V190="","",IF(R190&gt;V190,1,0))</f>
        <v/>
      </c>
      <c r="Z190" s="56">
        <f>IF(Q190="Pass",1,0)</f>
        <v/>
      </c>
      <c r="AA190" s="50" t="n"/>
      <c r="AB190" s="50" t="n"/>
      <c r="AC190" s="49" t="n"/>
      <c r="AD190" s="50" t="n"/>
      <c r="AE190" s="49" t="n"/>
    </row>
    <row r="191" ht="15.75" customHeight="1" s="40">
      <c r="A191" s="48" t="n"/>
      <c r="B191" s="48" t="n"/>
      <c r="C191" s="47" t="n"/>
      <c r="D191" s="48" t="n"/>
      <c r="E191" s="48" t="n"/>
      <c r="F191" s="48" t="n"/>
      <c r="G191" s="47" t="n"/>
      <c r="H191" s="50" t="n"/>
      <c r="I191" s="50" t="n"/>
      <c r="J191" s="50" t="n"/>
      <c r="K191" s="50" t="n"/>
      <c r="L191" s="49" t="n"/>
      <c r="M191" s="49" t="n"/>
      <c r="N191" s="49" t="n"/>
      <c r="O191" s="49" t="n"/>
      <c r="P191" s="50" t="n"/>
      <c r="Q191" s="49" t="n"/>
      <c r="R191" s="56">
        <f>IF(Q191="","",IFERROR(VLOOKUP(Q191,Lookups!$A$2:$B$8,2,FALSE),""))</f>
        <v/>
      </c>
      <c r="S191" s="53">
        <f>IF(B191="","",B191&amp;"|"&amp;TEXT(C191,"00"))</f>
        <v/>
      </c>
      <c r="T191" s="53">
        <f>IF(B191="","",B191&amp;"|"&amp;TEXT(C191-1,"00"))</f>
        <v/>
      </c>
      <c r="U191" s="53">
        <f>IFERROR(INDEX($Q:$Q,MATCH(T191,$S:$S,0)),"")</f>
        <v/>
      </c>
      <c r="V191" s="56">
        <f>IFERROR(INDEX($R:$R,MATCH(T191,$S:$S,0)),"")</f>
        <v/>
      </c>
      <c r="W191" s="56">
        <f>IF(U191="","",IF(Q191&lt;&gt;U191,1,0))</f>
        <v/>
      </c>
      <c r="X191" s="56">
        <f>IF(V191="","",IF(R191&lt;V191,1,0))</f>
        <v/>
      </c>
      <c r="Y191" s="56">
        <f>IF(V191="","",IF(R191&gt;V191,1,0))</f>
        <v/>
      </c>
      <c r="Z191" s="56">
        <f>IF(Q191="Pass",1,0)</f>
        <v/>
      </c>
      <c r="AA191" s="50" t="n"/>
      <c r="AB191" s="50" t="n"/>
      <c r="AC191" s="49" t="n"/>
      <c r="AD191" s="50" t="n"/>
      <c r="AE191" s="49" t="n"/>
    </row>
    <row r="192" ht="15.75" customHeight="1" s="40">
      <c r="A192" s="48" t="n"/>
      <c r="B192" s="48" t="n"/>
      <c r="C192" s="47" t="n"/>
      <c r="D192" s="48" t="n"/>
      <c r="E192" s="48" t="n"/>
      <c r="F192" s="48" t="n"/>
      <c r="G192" s="47" t="n"/>
      <c r="H192" s="50" t="n"/>
      <c r="I192" s="50" t="n"/>
      <c r="J192" s="50" t="n"/>
      <c r="K192" s="50" t="n"/>
      <c r="L192" s="49" t="n"/>
      <c r="M192" s="49" t="n"/>
      <c r="N192" s="49" t="n"/>
      <c r="O192" s="49" t="n"/>
      <c r="P192" s="50" t="n"/>
      <c r="Q192" s="49" t="n"/>
      <c r="R192" s="56">
        <f>IF(Q192="","",IFERROR(VLOOKUP(Q192,Lookups!$A$2:$B$8,2,FALSE),""))</f>
        <v/>
      </c>
      <c r="S192" s="53">
        <f>IF(B192="","",B192&amp;"|"&amp;TEXT(C192,"00"))</f>
        <v/>
      </c>
      <c r="T192" s="53">
        <f>IF(B192="","",B192&amp;"|"&amp;TEXT(C192-1,"00"))</f>
        <v/>
      </c>
      <c r="U192" s="53">
        <f>IFERROR(INDEX($Q:$Q,MATCH(T192,$S:$S,0)),"")</f>
        <v/>
      </c>
      <c r="V192" s="56">
        <f>IFERROR(INDEX($R:$R,MATCH(T192,$S:$S,0)),"")</f>
        <v/>
      </c>
      <c r="W192" s="56">
        <f>IF(U192="","",IF(Q192&lt;&gt;U192,1,0))</f>
        <v/>
      </c>
      <c r="X192" s="56">
        <f>IF(V192="","",IF(R192&lt;V192,1,0))</f>
        <v/>
      </c>
      <c r="Y192" s="56">
        <f>IF(V192="","",IF(R192&gt;V192,1,0))</f>
        <v/>
      </c>
      <c r="Z192" s="56">
        <f>IF(Q192="Pass",1,0)</f>
        <v/>
      </c>
      <c r="AA192" s="50" t="n"/>
      <c r="AB192" s="50" t="n"/>
      <c r="AC192" s="49" t="n"/>
      <c r="AD192" s="50" t="n"/>
      <c r="AE192" s="49" t="n"/>
    </row>
    <row r="193" ht="15.75" customHeight="1" s="40">
      <c r="A193" s="48" t="n"/>
      <c r="B193" s="48" t="n"/>
      <c r="C193" s="47" t="n"/>
      <c r="D193" s="48" t="n"/>
      <c r="E193" s="48" t="n"/>
      <c r="F193" s="48" t="n"/>
      <c r="G193" s="47" t="n"/>
      <c r="H193" s="50" t="n"/>
      <c r="I193" s="50" t="n"/>
      <c r="J193" s="50" t="n"/>
      <c r="K193" s="50" t="n"/>
      <c r="L193" s="49" t="n"/>
      <c r="M193" s="49" t="n"/>
      <c r="N193" s="49" t="n"/>
      <c r="O193" s="49" t="n"/>
      <c r="P193" s="50" t="n"/>
      <c r="Q193" s="49" t="n"/>
      <c r="R193" s="56">
        <f>IF(Q193="","",IFERROR(VLOOKUP(Q193,Lookups!$A$2:$B$8,2,FALSE),""))</f>
        <v/>
      </c>
      <c r="S193" s="53">
        <f>IF(B193="","",B193&amp;"|"&amp;TEXT(C193,"00"))</f>
        <v/>
      </c>
      <c r="T193" s="53">
        <f>IF(B193="","",B193&amp;"|"&amp;TEXT(C193-1,"00"))</f>
        <v/>
      </c>
      <c r="U193" s="53">
        <f>IFERROR(INDEX($Q:$Q,MATCH(T193,$S:$S,0)),"")</f>
        <v/>
      </c>
      <c r="V193" s="56">
        <f>IFERROR(INDEX($R:$R,MATCH(T193,$S:$S,0)),"")</f>
        <v/>
      </c>
      <c r="W193" s="56">
        <f>IF(U193="","",IF(Q193&lt;&gt;U193,1,0))</f>
        <v/>
      </c>
      <c r="X193" s="56">
        <f>IF(V193="","",IF(R193&lt;V193,1,0))</f>
        <v/>
      </c>
      <c r="Y193" s="56">
        <f>IF(V193="","",IF(R193&gt;V193,1,0))</f>
        <v/>
      </c>
      <c r="Z193" s="56">
        <f>IF(Q193="Pass",1,0)</f>
        <v/>
      </c>
      <c r="AA193" s="50" t="n"/>
      <c r="AB193" s="50" t="n"/>
      <c r="AC193" s="49" t="n"/>
      <c r="AD193" s="50" t="n"/>
      <c r="AE193" s="49" t="n"/>
    </row>
    <row r="194" ht="15.75" customHeight="1" s="40">
      <c r="A194" s="48" t="n"/>
      <c r="B194" s="48" t="n"/>
      <c r="C194" s="47" t="n"/>
      <c r="D194" s="48" t="n"/>
      <c r="E194" s="48" t="n"/>
      <c r="F194" s="48" t="n"/>
      <c r="G194" s="47" t="n"/>
      <c r="H194" s="50" t="n"/>
      <c r="I194" s="50" t="n"/>
      <c r="J194" s="50" t="n"/>
      <c r="K194" s="50" t="n"/>
      <c r="L194" s="49" t="n"/>
      <c r="M194" s="49" t="n"/>
      <c r="N194" s="49" t="n"/>
      <c r="O194" s="49" t="n"/>
      <c r="P194" s="50" t="n"/>
      <c r="Q194" s="49" t="n"/>
      <c r="R194" s="56">
        <f>IF(Q194="","",IFERROR(VLOOKUP(Q194,Lookups!$A$2:$B$8,2,FALSE),""))</f>
        <v/>
      </c>
      <c r="S194" s="53">
        <f>IF(B194="","",B194&amp;"|"&amp;TEXT(C194,"00"))</f>
        <v/>
      </c>
      <c r="T194" s="53">
        <f>IF(B194="","",B194&amp;"|"&amp;TEXT(C194-1,"00"))</f>
        <v/>
      </c>
      <c r="U194" s="53">
        <f>IFERROR(INDEX($Q:$Q,MATCH(T194,$S:$S,0)),"")</f>
        <v/>
      </c>
      <c r="V194" s="56">
        <f>IFERROR(INDEX($R:$R,MATCH(T194,$S:$S,0)),"")</f>
        <v/>
      </c>
      <c r="W194" s="56">
        <f>IF(U194="","",IF(Q194&lt;&gt;U194,1,0))</f>
        <v/>
      </c>
      <c r="X194" s="56">
        <f>IF(V194="","",IF(R194&lt;V194,1,0))</f>
        <v/>
      </c>
      <c r="Y194" s="56">
        <f>IF(V194="","",IF(R194&gt;V194,1,0))</f>
        <v/>
      </c>
      <c r="Z194" s="56">
        <f>IF(Q194="Pass",1,0)</f>
        <v/>
      </c>
      <c r="AA194" s="50" t="n"/>
      <c r="AB194" s="50" t="n"/>
      <c r="AC194" s="49" t="n"/>
      <c r="AD194" s="50" t="n"/>
      <c r="AE194" s="49" t="n"/>
    </row>
    <row r="195" ht="15.75" customHeight="1" s="40">
      <c r="A195" s="48" t="n"/>
      <c r="B195" s="48" t="n"/>
      <c r="C195" s="47" t="n"/>
      <c r="D195" s="48" t="n"/>
      <c r="E195" s="48" t="n"/>
      <c r="F195" s="48" t="n"/>
      <c r="G195" s="47" t="n"/>
      <c r="H195" s="50" t="n"/>
      <c r="I195" s="50" t="n"/>
      <c r="J195" s="50" t="n"/>
      <c r="K195" s="50" t="n"/>
      <c r="L195" s="49" t="n"/>
      <c r="M195" s="49" t="n"/>
      <c r="N195" s="49" t="n"/>
      <c r="O195" s="49" t="n"/>
      <c r="P195" s="50" t="n"/>
      <c r="Q195" s="49" t="n"/>
      <c r="R195" s="56">
        <f>IF(Q195="","",IFERROR(VLOOKUP(Q195,Lookups!$A$2:$B$8,2,FALSE),""))</f>
        <v/>
      </c>
      <c r="S195" s="53">
        <f>IF(B195="","",B195&amp;"|"&amp;TEXT(C195,"00"))</f>
        <v/>
      </c>
      <c r="T195" s="53">
        <f>IF(B195="","",B195&amp;"|"&amp;TEXT(C195-1,"00"))</f>
        <v/>
      </c>
      <c r="U195" s="53">
        <f>IFERROR(INDEX($Q:$Q,MATCH(T195,$S:$S,0)),"")</f>
        <v/>
      </c>
      <c r="V195" s="56">
        <f>IFERROR(INDEX($R:$R,MATCH(T195,$S:$S,0)),"")</f>
        <v/>
      </c>
      <c r="W195" s="56">
        <f>IF(U195="","",IF(Q195&lt;&gt;U195,1,0))</f>
        <v/>
      </c>
      <c r="X195" s="56">
        <f>IF(V195="","",IF(R195&lt;V195,1,0))</f>
        <v/>
      </c>
      <c r="Y195" s="56">
        <f>IF(V195="","",IF(R195&gt;V195,1,0))</f>
        <v/>
      </c>
      <c r="Z195" s="56">
        <f>IF(Q195="Pass",1,0)</f>
        <v/>
      </c>
      <c r="AA195" s="50" t="n"/>
      <c r="AB195" s="50" t="n"/>
      <c r="AC195" s="49" t="n"/>
      <c r="AD195" s="50" t="n"/>
      <c r="AE195" s="49" t="n"/>
    </row>
    <row r="196" ht="15.75" customHeight="1" s="40">
      <c r="A196" s="48" t="n"/>
      <c r="B196" s="48" t="n"/>
      <c r="C196" s="47" t="n"/>
      <c r="D196" s="48" t="n"/>
      <c r="E196" s="48" t="n"/>
      <c r="F196" s="48" t="n"/>
      <c r="G196" s="47" t="n"/>
      <c r="H196" s="50" t="n"/>
      <c r="I196" s="50" t="n"/>
      <c r="J196" s="50" t="n"/>
      <c r="K196" s="50" t="n"/>
      <c r="L196" s="49" t="n"/>
      <c r="M196" s="49" t="n"/>
      <c r="N196" s="49" t="n"/>
      <c r="O196" s="49" t="n"/>
      <c r="P196" s="50" t="n"/>
      <c r="Q196" s="49" t="n"/>
      <c r="R196" s="56">
        <f>IF(Q196="","",IFERROR(VLOOKUP(Q196,Lookups!$A$2:$B$8,2,FALSE),""))</f>
        <v/>
      </c>
      <c r="S196" s="53">
        <f>IF(B196="","",B196&amp;"|"&amp;TEXT(C196,"00"))</f>
        <v/>
      </c>
      <c r="T196" s="53">
        <f>IF(B196="","",B196&amp;"|"&amp;TEXT(C196-1,"00"))</f>
        <v/>
      </c>
      <c r="U196" s="53">
        <f>IFERROR(INDEX($Q:$Q,MATCH(T196,$S:$S,0)),"")</f>
        <v/>
      </c>
      <c r="V196" s="56">
        <f>IFERROR(INDEX($R:$R,MATCH(T196,$S:$S,0)),"")</f>
        <v/>
      </c>
      <c r="W196" s="56">
        <f>IF(U196="","",IF(Q196&lt;&gt;U196,1,0))</f>
        <v/>
      </c>
      <c r="X196" s="56">
        <f>IF(V196="","",IF(R196&lt;V196,1,0))</f>
        <v/>
      </c>
      <c r="Y196" s="56">
        <f>IF(V196="","",IF(R196&gt;V196,1,0))</f>
        <v/>
      </c>
      <c r="Z196" s="56">
        <f>IF(Q196="Pass",1,0)</f>
        <v/>
      </c>
      <c r="AA196" s="50" t="n"/>
      <c r="AB196" s="50" t="n"/>
      <c r="AC196" s="49" t="n"/>
      <c r="AD196" s="50" t="n"/>
      <c r="AE196" s="49" t="n"/>
    </row>
    <row r="197" ht="15.75" customHeight="1" s="40">
      <c r="A197" s="48" t="n"/>
      <c r="B197" s="48" t="n"/>
      <c r="C197" s="47" t="n"/>
      <c r="D197" s="48" t="n"/>
      <c r="E197" s="48" t="n"/>
      <c r="F197" s="48" t="n"/>
      <c r="G197" s="47" t="n"/>
      <c r="H197" s="50" t="n"/>
      <c r="I197" s="50" t="n"/>
      <c r="J197" s="50" t="n"/>
      <c r="K197" s="50" t="n"/>
      <c r="L197" s="49" t="n"/>
      <c r="M197" s="49" t="n"/>
      <c r="N197" s="49" t="n"/>
      <c r="O197" s="49" t="n"/>
      <c r="P197" s="50" t="n"/>
      <c r="Q197" s="49" t="n"/>
      <c r="R197" s="56">
        <f>IF(Q197="","",IFERROR(VLOOKUP(Q197,Lookups!$A$2:$B$8,2,FALSE),""))</f>
        <v/>
      </c>
      <c r="S197" s="53">
        <f>IF(B197="","",B197&amp;"|"&amp;TEXT(C197,"00"))</f>
        <v/>
      </c>
      <c r="T197" s="53">
        <f>IF(B197="","",B197&amp;"|"&amp;TEXT(C197-1,"00"))</f>
        <v/>
      </c>
      <c r="U197" s="53">
        <f>IFERROR(INDEX($Q:$Q,MATCH(T197,$S:$S,0)),"")</f>
        <v/>
      </c>
      <c r="V197" s="56">
        <f>IFERROR(INDEX($R:$R,MATCH(T197,$S:$S,0)),"")</f>
        <v/>
      </c>
      <c r="W197" s="56">
        <f>IF(U197="","",IF(Q197&lt;&gt;U197,1,0))</f>
        <v/>
      </c>
      <c r="X197" s="56">
        <f>IF(V197="","",IF(R197&lt;V197,1,0))</f>
        <v/>
      </c>
      <c r="Y197" s="56">
        <f>IF(V197="","",IF(R197&gt;V197,1,0))</f>
        <v/>
      </c>
      <c r="Z197" s="56">
        <f>IF(Q197="Pass",1,0)</f>
        <v/>
      </c>
      <c r="AA197" s="50" t="n"/>
      <c r="AB197" s="50" t="n"/>
      <c r="AC197" s="49" t="n"/>
      <c r="AD197" s="50" t="n"/>
      <c r="AE197" s="49" t="n"/>
    </row>
    <row r="198" ht="15.75" customHeight="1" s="40">
      <c r="A198" s="48" t="n"/>
      <c r="B198" s="48" t="n"/>
      <c r="C198" s="47" t="n"/>
      <c r="D198" s="48" t="n"/>
      <c r="E198" s="48" t="n"/>
      <c r="F198" s="48" t="n"/>
      <c r="G198" s="47" t="n"/>
      <c r="H198" s="50" t="n"/>
      <c r="I198" s="50" t="n"/>
      <c r="J198" s="50" t="n"/>
      <c r="K198" s="50" t="n"/>
      <c r="L198" s="49" t="n"/>
      <c r="M198" s="49" t="n"/>
      <c r="N198" s="49" t="n"/>
      <c r="O198" s="49" t="n"/>
      <c r="P198" s="50" t="n"/>
      <c r="Q198" s="49" t="n"/>
      <c r="R198" s="56">
        <f>IF(Q198="","",IFERROR(VLOOKUP(Q198,Lookups!$A$2:$B$8,2,FALSE),""))</f>
        <v/>
      </c>
      <c r="S198" s="53">
        <f>IF(B198="","",B198&amp;"|"&amp;TEXT(C198,"00"))</f>
        <v/>
      </c>
      <c r="T198" s="53">
        <f>IF(B198="","",B198&amp;"|"&amp;TEXT(C198-1,"00"))</f>
        <v/>
      </c>
      <c r="U198" s="53">
        <f>IFERROR(INDEX($Q:$Q,MATCH(T198,$S:$S,0)),"")</f>
        <v/>
      </c>
      <c r="V198" s="56">
        <f>IFERROR(INDEX($R:$R,MATCH(T198,$S:$S,0)),"")</f>
        <v/>
      </c>
      <c r="W198" s="56">
        <f>IF(U198="","",IF(Q198&lt;&gt;U198,1,0))</f>
        <v/>
      </c>
      <c r="X198" s="56">
        <f>IF(V198="","",IF(R198&lt;V198,1,0))</f>
        <v/>
      </c>
      <c r="Y198" s="56">
        <f>IF(V198="","",IF(R198&gt;V198,1,0))</f>
        <v/>
      </c>
      <c r="Z198" s="56">
        <f>IF(Q198="Pass",1,0)</f>
        <v/>
      </c>
      <c r="AA198" s="50" t="n"/>
      <c r="AB198" s="50" t="n"/>
      <c r="AC198" s="49" t="n"/>
      <c r="AD198" s="50" t="n"/>
      <c r="AE198" s="49" t="n"/>
    </row>
    <row r="199" ht="15.75" customHeight="1" s="40">
      <c r="A199" s="48" t="n"/>
      <c r="B199" s="48" t="n"/>
      <c r="C199" s="47" t="n"/>
      <c r="D199" s="48" t="n"/>
      <c r="E199" s="48" t="n"/>
      <c r="F199" s="48" t="n"/>
      <c r="G199" s="47" t="n"/>
      <c r="H199" s="50" t="n"/>
      <c r="I199" s="50" t="n"/>
      <c r="J199" s="50" t="n"/>
      <c r="K199" s="50" t="n"/>
      <c r="L199" s="49" t="n"/>
      <c r="M199" s="49" t="n"/>
      <c r="N199" s="49" t="n"/>
      <c r="O199" s="49" t="n"/>
      <c r="P199" s="50" t="n"/>
      <c r="Q199" s="49" t="n"/>
      <c r="R199" s="56">
        <f>IF(Q199="","",IFERROR(VLOOKUP(Q199,Lookups!$A$2:$B$8,2,FALSE),""))</f>
        <v/>
      </c>
      <c r="S199" s="53">
        <f>IF(B199="","",B199&amp;"|"&amp;TEXT(C199,"00"))</f>
        <v/>
      </c>
      <c r="T199" s="53">
        <f>IF(B199="","",B199&amp;"|"&amp;TEXT(C199-1,"00"))</f>
        <v/>
      </c>
      <c r="U199" s="53">
        <f>IFERROR(INDEX($Q:$Q,MATCH(T199,$S:$S,0)),"")</f>
        <v/>
      </c>
      <c r="V199" s="56">
        <f>IFERROR(INDEX($R:$R,MATCH(T199,$S:$S,0)),"")</f>
        <v/>
      </c>
      <c r="W199" s="56">
        <f>IF(U199="","",IF(Q199&lt;&gt;U199,1,0))</f>
        <v/>
      </c>
      <c r="X199" s="56">
        <f>IF(V199="","",IF(R199&lt;V199,1,0))</f>
        <v/>
      </c>
      <c r="Y199" s="56">
        <f>IF(V199="","",IF(R199&gt;V199,1,0))</f>
        <v/>
      </c>
      <c r="Z199" s="56">
        <f>IF(Q199="Pass",1,0)</f>
        <v/>
      </c>
      <c r="AA199" s="50" t="n"/>
      <c r="AB199" s="50" t="n"/>
      <c r="AC199" s="49" t="n"/>
      <c r="AD199" s="50" t="n"/>
      <c r="AE199" s="49" t="n"/>
    </row>
    <row r="200" ht="15.75" customHeight="1" s="40">
      <c r="A200" s="48" t="n"/>
      <c r="B200" s="48" t="n"/>
      <c r="C200" s="47" t="n"/>
      <c r="D200" s="48" t="n"/>
      <c r="E200" s="48" t="n"/>
      <c r="F200" s="48" t="n"/>
      <c r="G200" s="47" t="n"/>
      <c r="H200" s="50" t="n"/>
      <c r="I200" s="50" t="n"/>
      <c r="J200" s="50" t="n"/>
      <c r="K200" s="50" t="n"/>
      <c r="L200" s="49" t="n"/>
      <c r="M200" s="49" t="n"/>
      <c r="N200" s="49" t="n"/>
      <c r="O200" s="49" t="n"/>
      <c r="P200" s="50" t="n"/>
      <c r="Q200" s="49" t="n"/>
      <c r="R200" s="56">
        <f>IF(Q200="","",IFERROR(VLOOKUP(Q200,Lookups!$A$2:$B$8,2,FALSE),""))</f>
        <v/>
      </c>
      <c r="S200" s="53">
        <f>IF(B200="","",B200&amp;"|"&amp;TEXT(C200,"00"))</f>
        <v/>
      </c>
      <c r="T200" s="53">
        <f>IF(B200="","",B200&amp;"|"&amp;TEXT(C200-1,"00"))</f>
        <v/>
      </c>
      <c r="U200" s="53">
        <f>IFERROR(INDEX($Q:$Q,MATCH(T200,$S:$S,0)),"")</f>
        <v/>
      </c>
      <c r="V200" s="56">
        <f>IFERROR(INDEX($R:$R,MATCH(T200,$S:$S,0)),"")</f>
        <v/>
      </c>
      <c r="W200" s="56">
        <f>IF(U200="","",IF(Q200&lt;&gt;U200,1,0))</f>
        <v/>
      </c>
      <c r="X200" s="56">
        <f>IF(V200="","",IF(R200&lt;V200,1,0))</f>
        <v/>
      </c>
      <c r="Y200" s="56">
        <f>IF(V200="","",IF(R200&gt;V200,1,0))</f>
        <v/>
      </c>
      <c r="Z200" s="56">
        <f>IF(Q200="Pass",1,0)</f>
        <v/>
      </c>
      <c r="AA200" s="50" t="n"/>
      <c r="AB200" s="50" t="n"/>
      <c r="AC200" s="49" t="n"/>
      <c r="AD200" s="50" t="n"/>
      <c r="AE200" s="49" t="n"/>
    </row>
    <row r="201" ht="15.75" customHeight="1" s="40">
      <c r="A201" s="48" t="n"/>
      <c r="B201" s="48" t="n"/>
      <c r="C201" s="47" t="n"/>
      <c r="D201" s="48" t="n"/>
      <c r="E201" s="48" t="n"/>
      <c r="F201" s="48" t="n"/>
      <c r="G201" s="47" t="n"/>
      <c r="H201" s="50" t="n"/>
      <c r="I201" s="50" t="n"/>
      <c r="J201" s="50" t="n"/>
      <c r="K201" s="50" t="n"/>
      <c r="L201" s="49" t="n"/>
      <c r="M201" s="49" t="n"/>
      <c r="N201" s="49" t="n"/>
      <c r="O201" s="49" t="n"/>
      <c r="P201" s="50" t="n"/>
      <c r="Q201" s="49" t="n"/>
      <c r="R201" s="56">
        <f>IF(Q201="","",IFERROR(VLOOKUP(Q201,Lookups!$A$2:$B$8,2,FALSE),""))</f>
        <v/>
      </c>
      <c r="S201" s="53">
        <f>IF(B201="","",B201&amp;"|"&amp;TEXT(C201,"00"))</f>
        <v/>
      </c>
      <c r="T201" s="53">
        <f>IF(B201="","",B201&amp;"|"&amp;TEXT(C201-1,"00"))</f>
        <v/>
      </c>
      <c r="U201" s="53">
        <f>IFERROR(INDEX($Q:$Q,MATCH(T201,$S:$S,0)),"")</f>
        <v/>
      </c>
      <c r="V201" s="56">
        <f>IFERROR(INDEX($R:$R,MATCH(T201,$S:$S,0)),"")</f>
        <v/>
      </c>
      <c r="W201" s="56">
        <f>IF(U201="","",IF(Q201&lt;&gt;U201,1,0))</f>
        <v/>
      </c>
      <c r="X201" s="56">
        <f>IF(V201="","",IF(R201&lt;V201,1,0))</f>
        <v/>
      </c>
      <c r="Y201" s="56">
        <f>IF(V201="","",IF(R201&gt;V201,1,0))</f>
        <v/>
      </c>
      <c r="Z201" s="56">
        <f>IF(Q201="Pass",1,0)</f>
        <v/>
      </c>
      <c r="AA201" s="50" t="n"/>
      <c r="AB201" s="50" t="n"/>
      <c r="AC201" s="49" t="n"/>
      <c r="AD201" s="50" t="n"/>
      <c r="AE201" s="49" t="n"/>
    </row>
    <row r="202" ht="15.75" customHeight="1" s="40">
      <c r="A202" s="48" t="n"/>
      <c r="B202" s="48" t="n"/>
      <c r="C202" s="47" t="n"/>
      <c r="D202" s="48" t="n"/>
      <c r="E202" s="48" t="n"/>
      <c r="F202" s="48" t="n"/>
      <c r="G202" s="47" t="n"/>
      <c r="H202" s="50" t="n"/>
      <c r="I202" s="50" t="n"/>
      <c r="J202" s="50" t="n"/>
      <c r="K202" s="50" t="n"/>
      <c r="L202" s="49" t="n"/>
      <c r="M202" s="49" t="n"/>
      <c r="N202" s="49" t="n"/>
      <c r="O202" s="49" t="n"/>
      <c r="P202" s="50" t="n"/>
      <c r="Q202" s="49" t="n"/>
      <c r="R202" s="56">
        <f>IF(Q202="","",IFERROR(VLOOKUP(Q202,Lookups!$A$2:$B$8,2,FALSE),""))</f>
        <v/>
      </c>
      <c r="S202" s="53">
        <f>IF(B202="","",B202&amp;"|"&amp;TEXT(C202,"00"))</f>
        <v/>
      </c>
      <c r="T202" s="53">
        <f>IF(B202="","",B202&amp;"|"&amp;TEXT(C202-1,"00"))</f>
        <v/>
      </c>
      <c r="U202" s="53">
        <f>IFERROR(INDEX($Q:$Q,MATCH(T202,$S:$S,0)),"")</f>
        <v/>
      </c>
      <c r="V202" s="56">
        <f>IFERROR(INDEX($R:$R,MATCH(T202,$S:$S,0)),"")</f>
        <v/>
      </c>
      <c r="W202" s="56">
        <f>IF(U202="","",IF(Q202&lt;&gt;U202,1,0))</f>
        <v/>
      </c>
      <c r="X202" s="56">
        <f>IF(V202="","",IF(R202&lt;V202,1,0))</f>
        <v/>
      </c>
      <c r="Y202" s="56">
        <f>IF(V202="","",IF(R202&gt;V202,1,0))</f>
        <v/>
      </c>
      <c r="Z202" s="56">
        <f>IF(Q202="Pass",1,0)</f>
        <v/>
      </c>
      <c r="AA202" s="50" t="n"/>
      <c r="AB202" s="50" t="n"/>
      <c r="AC202" s="49" t="n"/>
      <c r="AD202" s="50" t="n"/>
      <c r="AE202" s="49" t="n"/>
    </row>
    <row r="203" ht="15.75" customHeight="1" s="40">
      <c r="A203" s="48" t="n"/>
      <c r="B203" s="48" t="n"/>
      <c r="C203" s="47" t="n"/>
      <c r="D203" s="48" t="n"/>
      <c r="E203" s="48" t="n"/>
      <c r="F203" s="48" t="n"/>
      <c r="G203" s="47" t="n"/>
      <c r="H203" s="50" t="n"/>
      <c r="I203" s="50" t="n"/>
      <c r="J203" s="50" t="n"/>
      <c r="K203" s="50" t="n"/>
      <c r="L203" s="49" t="n"/>
      <c r="M203" s="49" t="n"/>
      <c r="N203" s="49" t="n"/>
      <c r="O203" s="49" t="n"/>
      <c r="P203" s="50" t="n"/>
      <c r="Q203" s="49" t="n"/>
      <c r="R203" s="56">
        <f>IF(Q203="","",IFERROR(VLOOKUP(Q203,Lookups!$A$2:$B$8,2,FALSE),""))</f>
        <v/>
      </c>
      <c r="S203" s="53">
        <f>IF(B203="","",B203&amp;"|"&amp;TEXT(C203,"00"))</f>
        <v/>
      </c>
      <c r="T203" s="53">
        <f>IF(B203="","",B203&amp;"|"&amp;TEXT(C203-1,"00"))</f>
        <v/>
      </c>
      <c r="U203" s="53">
        <f>IFERROR(INDEX($Q:$Q,MATCH(T203,$S:$S,0)),"")</f>
        <v/>
      </c>
      <c r="V203" s="56">
        <f>IFERROR(INDEX($R:$R,MATCH(T203,$S:$S,0)),"")</f>
        <v/>
      </c>
      <c r="W203" s="56">
        <f>IF(U203="","",IF(Q203&lt;&gt;U203,1,0))</f>
        <v/>
      </c>
      <c r="X203" s="56">
        <f>IF(V203="","",IF(R203&lt;V203,1,0))</f>
        <v/>
      </c>
      <c r="Y203" s="56">
        <f>IF(V203="","",IF(R203&gt;V203,1,0))</f>
        <v/>
      </c>
      <c r="Z203" s="56">
        <f>IF(Q203="Pass",1,0)</f>
        <v/>
      </c>
      <c r="AA203" s="50" t="n"/>
      <c r="AB203" s="50" t="n"/>
      <c r="AC203" s="49" t="n"/>
      <c r="AD203" s="50" t="n"/>
      <c r="AE203" s="49" t="n"/>
    </row>
    <row r="204" ht="15.75" customHeight="1" s="40">
      <c r="A204" s="48" t="n"/>
      <c r="B204" s="48" t="n"/>
      <c r="C204" s="47" t="n"/>
      <c r="D204" s="48" t="n"/>
      <c r="E204" s="48" t="n"/>
      <c r="F204" s="48" t="n"/>
      <c r="G204" s="47" t="n"/>
      <c r="H204" s="50" t="n"/>
      <c r="I204" s="50" t="n"/>
      <c r="J204" s="50" t="n"/>
      <c r="K204" s="50" t="n"/>
      <c r="L204" s="49" t="n"/>
      <c r="M204" s="49" t="n"/>
      <c r="N204" s="49" t="n"/>
      <c r="O204" s="49" t="n"/>
      <c r="P204" s="50" t="n"/>
      <c r="Q204" s="49" t="n"/>
      <c r="R204" s="56">
        <f>IF(Q204="","",IFERROR(VLOOKUP(Q204,Lookups!$A$2:$B$8,2,FALSE),""))</f>
        <v/>
      </c>
      <c r="S204" s="53">
        <f>IF(B204="","",B204&amp;"|"&amp;TEXT(C204,"00"))</f>
        <v/>
      </c>
      <c r="T204" s="53">
        <f>IF(B204="","",B204&amp;"|"&amp;TEXT(C204-1,"00"))</f>
        <v/>
      </c>
      <c r="U204" s="53">
        <f>IFERROR(INDEX($Q:$Q,MATCH(T204,$S:$S,0)),"")</f>
        <v/>
      </c>
      <c r="V204" s="56">
        <f>IFERROR(INDEX($R:$R,MATCH(T204,$S:$S,0)),"")</f>
        <v/>
      </c>
      <c r="W204" s="56">
        <f>IF(U204="","",IF(Q204&lt;&gt;U204,1,0))</f>
        <v/>
      </c>
      <c r="X204" s="56">
        <f>IF(V204="","",IF(R204&lt;V204,1,0))</f>
        <v/>
      </c>
      <c r="Y204" s="56">
        <f>IF(V204="","",IF(R204&gt;V204,1,0))</f>
        <v/>
      </c>
      <c r="Z204" s="56">
        <f>IF(Q204="Pass",1,0)</f>
        <v/>
      </c>
      <c r="AA204" s="50" t="n"/>
      <c r="AB204" s="50" t="n"/>
      <c r="AC204" s="49" t="n"/>
      <c r="AD204" s="50" t="n"/>
      <c r="AE204" s="49" t="n"/>
    </row>
    <row r="205" ht="15.75" customHeight="1" s="40">
      <c r="A205" s="48" t="n"/>
      <c r="B205" s="48" t="n"/>
      <c r="C205" s="47" t="n"/>
      <c r="D205" s="48" t="n"/>
      <c r="E205" s="48" t="n"/>
      <c r="F205" s="48" t="n"/>
      <c r="G205" s="47" t="n"/>
      <c r="H205" s="50" t="n"/>
      <c r="I205" s="50" t="n"/>
      <c r="J205" s="50" t="n"/>
      <c r="K205" s="50" t="n"/>
      <c r="L205" s="49" t="n"/>
      <c r="M205" s="49" t="n"/>
      <c r="N205" s="49" t="n"/>
      <c r="O205" s="49" t="n"/>
      <c r="P205" s="50" t="n"/>
      <c r="Q205" s="49" t="n"/>
      <c r="R205" s="56">
        <f>IF(Q205="","",IFERROR(VLOOKUP(Q205,Lookups!$A$2:$B$8,2,FALSE),""))</f>
        <v/>
      </c>
      <c r="S205" s="53">
        <f>IF(B205="","",B205&amp;"|"&amp;TEXT(C205,"00"))</f>
        <v/>
      </c>
      <c r="T205" s="53">
        <f>IF(B205="","",B205&amp;"|"&amp;TEXT(C205-1,"00"))</f>
        <v/>
      </c>
      <c r="U205" s="53">
        <f>IFERROR(INDEX($Q:$Q,MATCH(T205,$S:$S,0)),"")</f>
        <v/>
      </c>
      <c r="V205" s="56">
        <f>IFERROR(INDEX($R:$R,MATCH(T205,$S:$S,0)),"")</f>
        <v/>
      </c>
      <c r="W205" s="56">
        <f>IF(U205="","",IF(Q205&lt;&gt;U205,1,0))</f>
        <v/>
      </c>
      <c r="X205" s="56">
        <f>IF(V205="","",IF(R205&lt;V205,1,0))</f>
        <v/>
      </c>
      <c r="Y205" s="56">
        <f>IF(V205="","",IF(R205&gt;V205,1,0))</f>
        <v/>
      </c>
      <c r="Z205" s="56">
        <f>IF(Q205="Pass",1,0)</f>
        <v/>
      </c>
      <c r="AA205" s="50" t="n"/>
      <c r="AB205" s="50" t="n"/>
      <c r="AC205" s="49" t="n"/>
      <c r="AD205" s="50" t="n"/>
      <c r="AE205" s="49" t="n"/>
    </row>
    <row r="206" ht="15.75" customHeight="1" s="40">
      <c r="A206" s="48" t="n"/>
      <c r="B206" s="48" t="n"/>
      <c r="C206" s="47" t="n"/>
      <c r="D206" s="48" t="n"/>
      <c r="E206" s="48" t="n"/>
      <c r="F206" s="48" t="n"/>
      <c r="G206" s="47" t="n"/>
      <c r="H206" s="50" t="n"/>
      <c r="I206" s="50" t="n"/>
      <c r="J206" s="50" t="n"/>
      <c r="K206" s="50" t="n"/>
      <c r="L206" s="49" t="n"/>
      <c r="M206" s="49" t="n"/>
      <c r="N206" s="49" t="n"/>
      <c r="O206" s="49" t="n"/>
      <c r="P206" s="50" t="n"/>
      <c r="Q206" s="49" t="n"/>
      <c r="R206" s="56">
        <f>IF(Q206="","",IFERROR(VLOOKUP(Q206,Lookups!$A$2:$B$8,2,FALSE),""))</f>
        <v/>
      </c>
      <c r="S206" s="53">
        <f>IF(B206="","",B206&amp;"|"&amp;TEXT(C206,"00"))</f>
        <v/>
      </c>
      <c r="T206" s="53">
        <f>IF(B206="","",B206&amp;"|"&amp;TEXT(C206-1,"00"))</f>
        <v/>
      </c>
      <c r="U206" s="53">
        <f>IFERROR(INDEX($Q:$Q,MATCH(T206,$S:$S,0)),"")</f>
        <v/>
      </c>
      <c r="V206" s="56">
        <f>IFERROR(INDEX($R:$R,MATCH(T206,$S:$S,0)),"")</f>
        <v/>
      </c>
      <c r="W206" s="56">
        <f>IF(U206="","",IF(Q206&lt;&gt;U206,1,0))</f>
        <v/>
      </c>
      <c r="X206" s="56">
        <f>IF(V206="","",IF(R206&lt;V206,1,0))</f>
        <v/>
      </c>
      <c r="Y206" s="56">
        <f>IF(V206="","",IF(R206&gt;V206,1,0))</f>
        <v/>
      </c>
      <c r="Z206" s="56">
        <f>IF(Q206="Pass",1,0)</f>
        <v/>
      </c>
      <c r="AA206" s="50" t="n"/>
      <c r="AB206" s="50" t="n"/>
      <c r="AC206" s="49" t="n"/>
      <c r="AD206" s="50" t="n"/>
      <c r="AE206" s="49" t="n"/>
    </row>
    <row r="207" ht="15.75" customHeight="1" s="40">
      <c r="A207" s="48" t="n"/>
      <c r="B207" s="48" t="n"/>
      <c r="C207" s="47" t="n"/>
      <c r="D207" s="48" t="n"/>
      <c r="E207" s="48" t="n"/>
      <c r="F207" s="48" t="n"/>
      <c r="G207" s="47" t="n"/>
      <c r="H207" s="50" t="n"/>
      <c r="I207" s="50" t="n"/>
      <c r="J207" s="50" t="n"/>
      <c r="K207" s="50" t="n"/>
      <c r="L207" s="49" t="n"/>
      <c r="M207" s="49" t="n"/>
      <c r="N207" s="49" t="n"/>
      <c r="O207" s="49" t="n"/>
      <c r="P207" s="50" t="n"/>
      <c r="Q207" s="49" t="n"/>
      <c r="R207" s="56">
        <f>IF(Q207="","",IFERROR(VLOOKUP(Q207,Lookups!$A$2:$B$8,2,FALSE),""))</f>
        <v/>
      </c>
      <c r="S207" s="53">
        <f>IF(B207="","",B207&amp;"|"&amp;TEXT(C207,"00"))</f>
        <v/>
      </c>
      <c r="T207" s="53">
        <f>IF(B207="","",B207&amp;"|"&amp;TEXT(C207-1,"00"))</f>
        <v/>
      </c>
      <c r="U207" s="53">
        <f>IFERROR(INDEX($Q:$Q,MATCH(T207,$S:$S,0)),"")</f>
        <v/>
      </c>
      <c r="V207" s="56">
        <f>IFERROR(INDEX($R:$R,MATCH(T207,$S:$S,0)),"")</f>
        <v/>
      </c>
      <c r="W207" s="56">
        <f>IF(U207="","",IF(Q207&lt;&gt;U207,1,0))</f>
        <v/>
      </c>
      <c r="X207" s="56">
        <f>IF(V207="","",IF(R207&lt;V207,1,0))</f>
        <v/>
      </c>
      <c r="Y207" s="56">
        <f>IF(V207="","",IF(R207&gt;V207,1,0))</f>
        <v/>
      </c>
      <c r="Z207" s="56">
        <f>IF(Q207="Pass",1,0)</f>
        <v/>
      </c>
      <c r="AA207" s="50" t="n"/>
      <c r="AB207" s="50" t="n"/>
      <c r="AC207" s="49" t="n"/>
      <c r="AD207" s="50" t="n"/>
      <c r="AE207" s="49" t="n"/>
    </row>
    <row r="208" ht="15.75" customHeight="1" s="40">
      <c r="A208" s="48" t="n"/>
      <c r="B208" s="48" t="n"/>
      <c r="C208" s="47" t="n"/>
      <c r="D208" s="48" t="n"/>
      <c r="E208" s="48" t="n"/>
      <c r="F208" s="48" t="n"/>
      <c r="G208" s="47" t="n"/>
      <c r="H208" s="50" t="n"/>
      <c r="I208" s="50" t="n"/>
      <c r="J208" s="50" t="n"/>
      <c r="K208" s="50" t="n"/>
      <c r="L208" s="49" t="n"/>
      <c r="M208" s="49" t="n"/>
      <c r="N208" s="49" t="n"/>
      <c r="O208" s="49" t="n"/>
      <c r="P208" s="50" t="n"/>
      <c r="Q208" s="49" t="n"/>
      <c r="R208" s="56">
        <f>IF(Q208="","",IFERROR(VLOOKUP(Q208,Lookups!$A$2:$B$8,2,FALSE),""))</f>
        <v/>
      </c>
      <c r="S208" s="53">
        <f>IF(B208="","",B208&amp;"|"&amp;TEXT(C208,"00"))</f>
        <v/>
      </c>
      <c r="T208" s="53">
        <f>IF(B208="","",B208&amp;"|"&amp;TEXT(C208-1,"00"))</f>
        <v/>
      </c>
      <c r="U208" s="53">
        <f>IFERROR(INDEX($Q:$Q,MATCH(T208,$S:$S,0)),"")</f>
        <v/>
      </c>
      <c r="V208" s="56">
        <f>IFERROR(INDEX($R:$R,MATCH(T208,$S:$S,0)),"")</f>
        <v/>
      </c>
      <c r="W208" s="56">
        <f>IF(U208="","",IF(Q208&lt;&gt;U208,1,0))</f>
        <v/>
      </c>
      <c r="X208" s="56">
        <f>IF(V208="","",IF(R208&lt;V208,1,0))</f>
        <v/>
      </c>
      <c r="Y208" s="56">
        <f>IF(V208="","",IF(R208&gt;V208,1,0))</f>
        <v/>
      </c>
      <c r="Z208" s="56">
        <f>IF(Q208="Pass",1,0)</f>
        <v/>
      </c>
      <c r="AA208" s="50" t="n"/>
      <c r="AB208" s="50" t="n"/>
      <c r="AC208" s="49" t="n"/>
      <c r="AD208" s="50" t="n"/>
      <c r="AE208" s="49" t="n"/>
    </row>
    <row r="209" ht="15.75" customHeight="1" s="40">
      <c r="A209" s="48" t="n"/>
      <c r="B209" s="48" t="n"/>
      <c r="C209" s="47" t="n"/>
      <c r="D209" s="48" t="n"/>
      <c r="E209" s="48" t="n"/>
      <c r="F209" s="48" t="n"/>
      <c r="G209" s="47" t="n"/>
      <c r="H209" s="50" t="n"/>
      <c r="I209" s="50" t="n"/>
      <c r="J209" s="50" t="n"/>
      <c r="K209" s="50" t="n"/>
      <c r="L209" s="49" t="n"/>
      <c r="M209" s="49" t="n"/>
      <c r="N209" s="49" t="n"/>
      <c r="O209" s="49" t="n"/>
      <c r="P209" s="50" t="n"/>
      <c r="Q209" s="49" t="n"/>
      <c r="R209" s="56">
        <f>IF(Q209="","",IFERROR(VLOOKUP(Q209,Lookups!$A$2:$B$8,2,FALSE),""))</f>
        <v/>
      </c>
      <c r="S209" s="53">
        <f>IF(B209="","",B209&amp;"|"&amp;TEXT(C209,"00"))</f>
        <v/>
      </c>
      <c r="T209" s="53">
        <f>IF(B209="","",B209&amp;"|"&amp;TEXT(C209-1,"00"))</f>
        <v/>
      </c>
      <c r="U209" s="53">
        <f>IFERROR(INDEX($Q:$Q,MATCH(T209,$S:$S,0)),"")</f>
        <v/>
      </c>
      <c r="V209" s="56">
        <f>IFERROR(INDEX($R:$R,MATCH(T209,$S:$S,0)),"")</f>
        <v/>
      </c>
      <c r="W209" s="56">
        <f>IF(U209="","",IF(Q209&lt;&gt;U209,1,0))</f>
        <v/>
      </c>
      <c r="X209" s="56">
        <f>IF(V209="","",IF(R209&lt;V209,1,0))</f>
        <v/>
      </c>
      <c r="Y209" s="56">
        <f>IF(V209="","",IF(R209&gt;V209,1,0))</f>
        <v/>
      </c>
      <c r="Z209" s="56">
        <f>IF(Q209="Pass",1,0)</f>
        <v/>
      </c>
      <c r="AA209" s="50" t="n"/>
      <c r="AB209" s="50" t="n"/>
      <c r="AC209" s="49" t="n"/>
      <c r="AD209" s="50" t="n"/>
      <c r="AE209" s="49" t="n"/>
    </row>
    <row r="210" ht="15.75" customHeight="1" s="40">
      <c r="A210" s="48" t="n"/>
      <c r="B210" s="48" t="n"/>
      <c r="C210" s="47" t="n"/>
      <c r="D210" s="48" t="n"/>
      <c r="E210" s="48" t="n"/>
      <c r="F210" s="48" t="n"/>
      <c r="G210" s="47" t="n"/>
      <c r="H210" s="50" t="n"/>
      <c r="I210" s="50" t="n"/>
      <c r="J210" s="50" t="n"/>
      <c r="K210" s="50" t="n"/>
      <c r="L210" s="49" t="n"/>
      <c r="M210" s="49" t="n"/>
      <c r="N210" s="49" t="n"/>
      <c r="O210" s="49" t="n"/>
      <c r="P210" s="50" t="n"/>
      <c r="Q210" s="49" t="n"/>
      <c r="R210" s="56">
        <f>IF(Q210="","",IFERROR(VLOOKUP(Q210,Lookups!$A$2:$B$8,2,FALSE),""))</f>
        <v/>
      </c>
      <c r="S210" s="53">
        <f>IF(B210="","",B210&amp;"|"&amp;TEXT(C210,"00"))</f>
        <v/>
      </c>
      <c r="T210" s="53">
        <f>IF(B210="","",B210&amp;"|"&amp;TEXT(C210-1,"00"))</f>
        <v/>
      </c>
      <c r="U210" s="53">
        <f>IFERROR(INDEX($Q:$Q,MATCH(T210,$S:$S,0)),"")</f>
        <v/>
      </c>
      <c r="V210" s="56">
        <f>IFERROR(INDEX($R:$R,MATCH(T210,$S:$S,0)),"")</f>
        <v/>
      </c>
      <c r="W210" s="56">
        <f>IF(U210="","",IF(Q210&lt;&gt;U210,1,0))</f>
        <v/>
      </c>
      <c r="X210" s="56">
        <f>IF(V210="","",IF(R210&lt;V210,1,0))</f>
        <v/>
      </c>
      <c r="Y210" s="56">
        <f>IF(V210="","",IF(R210&gt;V210,1,0))</f>
        <v/>
      </c>
      <c r="Z210" s="56">
        <f>IF(Q210="Pass",1,0)</f>
        <v/>
      </c>
      <c r="AA210" s="50" t="n"/>
      <c r="AB210" s="50" t="n"/>
      <c r="AC210" s="49" t="n"/>
      <c r="AD210" s="50" t="n"/>
      <c r="AE210" s="49" t="n"/>
    </row>
    <row r="211" ht="15.75" customHeight="1" s="40">
      <c r="A211" s="48" t="n"/>
      <c r="B211" s="48" t="n"/>
      <c r="C211" s="47" t="n"/>
      <c r="D211" s="48" t="n"/>
      <c r="E211" s="48" t="n"/>
      <c r="F211" s="48" t="n"/>
      <c r="G211" s="47" t="n"/>
      <c r="H211" s="50" t="n"/>
      <c r="I211" s="50" t="n"/>
      <c r="J211" s="50" t="n"/>
      <c r="K211" s="50" t="n"/>
      <c r="L211" s="49" t="n"/>
      <c r="M211" s="49" t="n"/>
      <c r="N211" s="49" t="n"/>
      <c r="O211" s="49" t="n"/>
      <c r="P211" s="50" t="n"/>
      <c r="Q211" s="49" t="n"/>
      <c r="R211" s="56">
        <f>IF(Q211="","",IFERROR(VLOOKUP(Q211,Lookups!$A$2:$B$8,2,FALSE),""))</f>
        <v/>
      </c>
      <c r="S211" s="53">
        <f>IF(B211="","",B211&amp;"|"&amp;TEXT(C211,"00"))</f>
        <v/>
      </c>
      <c r="T211" s="53">
        <f>IF(B211="","",B211&amp;"|"&amp;TEXT(C211-1,"00"))</f>
        <v/>
      </c>
      <c r="U211" s="53">
        <f>IFERROR(INDEX($Q:$Q,MATCH(T211,$S:$S,0)),"")</f>
        <v/>
      </c>
      <c r="V211" s="56">
        <f>IFERROR(INDEX($R:$R,MATCH(T211,$S:$S,0)),"")</f>
        <v/>
      </c>
      <c r="W211" s="56">
        <f>IF(U211="","",IF(Q211&lt;&gt;U211,1,0))</f>
        <v/>
      </c>
      <c r="X211" s="56">
        <f>IF(V211="","",IF(R211&lt;V211,1,0))</f>
        <v/>
      </c>
      <c r="Y211" s="56">
        <f>IF(V211="","",IF(R211&gt;V211,1,0))</f>
        <v/>
      </c>
      <c r="Z211" s="56">
        <f>IF(Q211="Pass",1,0)</f>
        <v/>
      </c>
      <c r="AA211" s="50" t="n"/>
      <c r="AB211" s="50" t="n"/>
      <c r="AC211" s="49" t="n"/>
      <c r="AD211" s="50" t="n"/>
      <c r="AE211" s="49" t="n"/>
    </row>
    <row r="212" ht="15.75" customHeight="1" s="40">
      <c r="A212" s="48" t="n"/>
      <c r="B212" s="48" t="n"/>
      <c r="C212" s="47" t="n"/>
      <c r="D212" s="48" t="n"/>
      <c r="E212" s="48" t="n"/>
      <c r="F212" s="48" t="n"/>
      <c r="G212" s="47" t="n"/>
      <c r="H212" s="50" t="n"/>
      <c r="I212" s="50" t="n"/>
      <c r="J212" s="50" t="n"/>
      <c r="K212" s="50" t="n"/>
      <c r="L212" s="49" t="n"/>
      <c r="M212" s="49" t="n"/>
      <c r="N212" s="49" t="n"/>
      <c r="O212" s="49" t="n"/>
      <c r="P212" s="50" t="n"/>
      <c r="Q212" s="49" t="n"/>
      <c r="R212" s="56">
        <f>IF(Q212="","",IFERROR(VLOOKUP(Q212,Lookups!$A$2:$B$8,2,FALSE),""))</f>
        <v/>
      </c>
      <c r="S212" s="53">
        <f>IF(B212="","",B212&amp;"|"&amp;TEXT(C212,"00"))</f>
        <v/>
      </c>
      <c r="T212" s="53">
        <f>IF(B212="","",B212&amp;"|"&amp;TEXT(C212-1,"00"))</f>
        <v/>
      </c>
      <c r="U212" s="53">
        <f>IFERROR(INDEX($Q:$Q,MATCH(T212,$S:$S,0)),"")</f>
        <v/>
      </c>
      <c r="V212" s="56">
        <f>IFERROR(INDEX($R:$R,MATCH(T212,$S:$S,0)),"")</f>
        <v/>
      </c>
      <c r="W212" s="56">
        <f>IF(U212="","",IF(Q212&lt;&gt;U212,1,0))</f>
        <v/>
      </c>
      <c r="X212" s="56">
        <f>IF(V212="","",IF(R212&lt;V212,1,0))</f>
        <v/>
      </c>
      <c r="Y212" s="56">
        <f>IF(V212="","",IF(R212&gt;V212,1,0))</f>
        <v/>
      </c>
      <c r="Z212" s="56">
        <f>IF(Q212="Pass",1,0)</f>
        <v/>
      </c>
      <c r="AA212" s="50" t="n"/>
      <c r="AB212" s="50" t="n"/>
      <c r="AC212" s="49" t="n"/>
      <c r="AD212" s="50" t="n"/>
      <c r="AE212" s="49" t="n"/>
    </row>
    <row r="213" ht="15.75" customHeight="1" s="40">
      <c r="A213" s="48" t="n"/>
      <c r="B213" s="48" t="n"/>
      <c r="C213" s="47" t="n"/>
      <c r="D213" s="48" t="n"/>
      <c r="E213" s="48" t="n"/>
      <c r="F213" s="48" t="n"/>
      <c r="G213" s="47" t="n"/>
      <c r="H213" s="50" t="n"/>
      <c r="I213" s="50" t="n"/>
      <c r="J213" s="50" t="n"/>
      <c r="K213" s="50" t="n"/>
      <c r="L213" s="49" t="n"/>
      <c r="M213" s="49" t="n"/>
      <c r="N213" s="49" t="n"/>
      <c r="O213" s="49" t="n"/>
      <c r="P213" s="50" t="n"/>
      <c r="Q213" s="49" t="n"/>
      <c r="R213" s="56">
        <f>IF(Q213="","",IFERROR(VLOOKUP(Q213,Lookups!$A$2:$B$8,2,FALSE),""))</f>
        <v/>
      </c>
      <c r="S213" s="53">
        <f>IF(B213="","",B213&amp;"|"&amp;TEXT(C213,"00"))</f>
        <v/>
      </c>
      <c r="T213" s="53">
        <f>IF(B213="","",B213&amp;"|"&amp;TEXT(C213-1,"00"))</f>
        <v/>
      </c>
      <c r="U213" s="53">
        <f>IFERROR(INDEX($Q:$Q,MATCH(T213,$S:$S,0)),"")</f>
        <v/>
      </c>
      <c r="V213" s="56">
        <f>IFERROR(INDEX($R:$R,MATCH(T213,$S:$S,0)),"")</f>
        <v/>
      </c>
      <c r="W213" s="56">
        <f>IF(U213="","",IF(Q213&lt;&gt;U213,1,0))</f>
        <v/>
      </c>
      <c r="X213" s="56">
        <f>IF(V213="","",IF(R213&lt;V213,1,0))</f>
        <v/>
      </c>
      <c r="Y213" s="56">
        <f>IF(V213="","",IF(R213&gt;V213,1,0))</f>
        <v/>
      </c>
      <c r="Z213" s="56">
        <f>IF(Q213="Pass",1,0)</f>
        <v/>
      </c>
      <c r="AA213" s="50" t="n"/>
      <c r="AB213" s="50" t="n"/>
      <c r="AC213" s="49" t="n"/>
      <c r="AD213" s="50" t="n"/>
      <c r="AE213" s="49" t="n"/>
    </row>
    <row r="214" ht="15.75" customHeight="1" s="40">
      <c r="A214" s="48" t="n"/>
      <c r="B214" s="48" t="n"/>
      <c r="C214" s="47" t="n"/>
      <c r="D214" s="48" t="n"/>
      <c r="E214" s="48" t="n"/>
      <c r="F214" s="48" t="n"/>
      <c r="G214" s="47" t="n"/>
      <c r="H214" s="50" t="n"/>
      <c r="I214" s="50" t="n"/>
      <c r="J214" s="50" t="n"/>
      <c r="K214" s="50" t="n"/>
      <c r="L214" s="49" t="n"/>
      <c r="M214" s="49" t="n"/>
      <c r="N214" s="49" t="n"/>
      <c r="O214" s="49" t="n"/>
      <c r="P214" s="50" t="n"/>
      <c r="Q214" s="49" t="n"/>
      <c r="R214" s="56">
        <f>IF(Q214="","",IFERROR(VLOOKUP(Q214,Lookups!$A$2:$B$8,2,FALSE),""))</f>
        <v/>
      </c>
      <c r="S214" s="53">
        <f>IF(B214="","",B214&amp;"|"&amp;TEXT(C214,"00"))</f>
        <v/>
      </c>
      <c r="T214" s="53">
        <f>IF(B214="","",B214&amp;"|"&amp;TEXT(C214-1,"00"))</f>
        <v/>
      </c>
      <c r="U214" s="53">
        <f>IFERROR(INDEX($Q:$Q,MATCH(T214,$S:$S,0)),"")</f>
        <v/>
      </c>
      <c r="V214" s="56">
        <f>IFERROR(INDEX($R:$R,MATCH(T214,$S:$S,0)),"")</f>
        <v/>
      </c>
      <c r="W214" s="56">
        <f>IF(U214="","",IF(Q214&lt;&gt;U214,1,0))</f>
        <v/>
      </c>
      <c r="X214" s="56">
        <f>IF(V214="","",IF(R214&lt;V214,1,0))</f>
        <v/>
      </c>
      <c r="Y214" s="56">
        <f>IF(V214="","",IF(R214&gt;V214,1,0))</f>
        <v/>
      </c>
      <c r="Z214" s="56">
        <f>IF(Q214="Pass",1,0)</f>
        <v/>
      </c>
      <c r="AA214" s="50" t="n"/>
      <c r="AB214" s="50" t="n"/>
      <c r="AC214" s="49" t="n"/>
      <c r="AD214" s="50" t="n"/>
      <c r="AE214" s="49" t="n"/>
    </row>
    <row r="215" ht="15.75" customHeight="1" s="40">
      <c r="A215" s="48" t="n"/>
      <c r="B215" s="48" t="n"/>
      <c r="C215" s="47" t="n"/>
      <c r="D215" s="48" t="n"/>
      <c r="E215" s="48" t="n"/>
      <c r="F215" s="48" t="n"/>
      <c r="G215" s="47" t="n"/>
      <c r="H215" s="50" t="n"/>
      <c r="I215" s="50" t="n"/>
      <c r="J215" s="50" t="n"/>
      <c r="K215" s="50" t="n"/>
      <c r="L215" s="49" t="n"/>
      <c r="M215" s="49" t="n"/>
      <c r="N215" s="49" t="n"/>
      <c r="O215" s="49" t="n"/>
      <c r="P215" s="50" t="n"/>
      <c r="Q215" s="49" t="n"/>
      <c r="R215" s="56">
        <f>IF(Q215="","",IFERROR(VLOOKUP(Q215,Lookups!$A$2:$B$8,2,FALSE),""))</f>
        <v/>
      </c>
      <c r="S215" s="53">
        <f>IF(B215="","",B215&amp;"|"&amp;TEXT(C215,"00"))</f>
        <v/>
      </c>
      <c r="T215" s="53">
        <f>IF(B215="","",B215&amp;"|"&amp;TEXT(C215-1,"00"))</f>
        <v/>
      </c>
      <c r="U215" s="53">
        <f>IFERROR(INDEX($Q:$Q,MATCH(T215,$S:$S,0)),"")</f>
        <v/>
      </c>
      <c r="V215" s="56">
        <f>IFERROR(INDEX($R:$R,MATCH(T215,$S:$S,0)),"")</f>
        <v/>
      </c>
      <c r="W215" s="56">
        <f>IF(U215="","",IF(Q215&lt;&gt;U215,1,0))</f>
        <v/>
      </c>
      <c r="X215" s="56">
        <f>IF(V215="","",IF(R215&lt;V215,1,0))</f>
        <v/>
      </c>
      <c r="Y215" s="56">
        <f>IF(V215="","",IF(R215&gt;V215,1,0))</f>
        <v/>
      </c>
      <c r="Z215" s="56">
        <f>IF(Q215="Pass",1,0)</f>
        <v/>
      </c>
      <c r="AA215" s="50" t="n"/>
      <c r="AB215" s="50" t="n"/>
      <c r="AC215" s="49" t="n"/>
      <c r="AD215" s="50" t="n"/>
      <c r="AE215" s="49" t="n"/>
    </row>
    <row r="216" ht="15.75" customHeight="1" s="40">
      <c r="A216" s="48" t="n"/>
      <c r="B216" s="48" t="n"/>
      <c r="C216" s="47" t="n"/>
      <c r="D216" s="48" t="n"/>
      <c r="E216" s="48" t="n"/>
      <c r="F216" s="48" t="n"/>
      <c r="G216" s="47" t="n"/>
      <c r="H216" s="50" t="n"/>
      <c r="I216" s="50" t="n"/>
      <c r="J216" s="50" t="n"/>
      <c r="K216" s="50" t="n"/>
      <c r="L216" s="49" t="n"/>
      <c r="M216" s="49" t="n"/>
      <c r="N216" s="49" t="n"/>
      <c r="O216" s="49" t="n"/>
      <c r="P216" s="50" t="n"/>
      <c r="Q216" s="49" t="n"/>
      <c r="R216" s="56">
        <f>IF(Q216="","",IFERROR(VLOOKUP(Q216,Lookups!$A$2:$B$8,2,FALSE),""))</f>
        <v/>
      </c>
      <c r="S216" s="53">
        <f>IF(B216="","",B216&amp;"|"&amp;TEXT(C216,"00"))</f>
        <v/>
      </c>
      <c r="T216" s="53">
        <f>IF(B216="","",B216&amp;"|"&amp;TEXT(C216-1,"00"))</f>
        <v/>
      </c>
      <c r="U216" s="53">
        <f>IFERROR(INDEX($Q:$Q,MATCH(T216,$S:$S,0)),"")</f>
        <v/>
      </c>
      <c r="V216" s="56">
        <f>IFERROR(INDEX($R:$R,MATCH(T216,$S:$S,0)),"")</f>
        <v/>
      </c>
      <c r="W216" s="56">
        <f>IF(U216="","",IF(Q216&lt;&gt;U216,1,0))</f>
        <v/>
      </c>
      <c r="X216" s="56">
        <f>IF(V216="","",IF(R216&lt;V216,1,0))</f>
        <v/>
      </c>
      <c r="Y216" s="56">
        <f>IF(V216="","",IF(R216&gt;V216,1,0))</f>
        <v/>
      </c>
      <c r="Z216" s="56">
        <f>IF(Q216="Pass",1,0)</f>
        <v/>
      </c>
      <c r="AA216" s="50" t="n"/>
      <c r="AB216" s="50" t="n"/>
      <c r="AC216" s="49" t="n"/>
      <c r="AD216" s="50" t="n"/>
      <c r="AE216" s="49" t="n"/>
    </row>
    <row r="217" ht="15.75" customHeight="1" s="40">
      <c r="A217" s="48" t="n"/>
      <c r="B217" s="48" t="n"/>
      <c r="C217" s="47" t="n"/>
      <c r="D217" s="48" t="n"/>
      <c r="E217" s="48" t="n"/>
      <c r="F217" s="48" t="n"/>
      <c r="G217" s="47" t="n"/>
      <c r="H217" s="50" t="n"/>
      <c r="I217" s="50" t="n"/>
      <c r="J217" s="50" t="n"/>
      <c r="K217" s="50" t="n"/>
      <c r="L217" s="49" t="n"/>
      <c r="M217" s="49" t="n"/>
      <c r="N217" s="49" t="n"/>
      <c r="O217" s="49" t="n"/>
      <c r="P217" s="50" t="n"/>
      <c r="Q217" s="49" t="n"/>
      <c r="R217" s="56">
        <f>IF(Q217="","",IFERROR(VLOOKUP(Q217,Lookups!$A$2:$B$8,2,FALSE),""))</f>
        <v/>
      </c>
      <c r="S217" s="53">
        <f>IF(B217="","",B217&amp;"|"&amp;TEXT(C217,"00"))</f>
        <v/>
      </c>
      <c r="T217" s="53">
        <f>IF(B217="","",B217&amp;"|"&amp;TEXT(C217-1,"00"))</f>
        <v/>
      </c>
      <c r="U217" s="53">
        <f>IFERROR(INDEX($Q:$Q,MATCH(T217,$S:$S,0)),"")</f>
        <v/>
      </c>
      <c r="V217" s="56">
        <f>IFERROR(INDEX($R:$R,MATCH(T217,$S:$S,0)),"")</f>
        <v/>
      </c>
      <c r="W217" s="56">
        <f>IF(U217="","",IF(Q217&lt;&gt;U217,1,0))</f>
        <v/>
      </c>
      <c r="X217" s="56">
        <f>IF(V217="","",IF(R217&lt;V217,1,0))</f>
        <v/>
      </c>
      <c r="Y217" s="56">
        <f>IF(V217="","",IF(R217&gt;V217,1,0))</f>
        <v/>
      </c>
      <c r="Z217" s="56">
        <f>IF(Q217="Pass",1,0)</f>
        <v/>
      </c>
      <c r="AA217" s="50" t="n"/>
      <c r="AB217" s="50" t="n"/>
      <c r="AC217" s="49" t="n"/>
      <c r="AD217" s="50" t="n"/>
      <c r="AE217" s="49" t="n"/>
    </row>
    <row r="218" ht="15.75" customHeight="1" s="40">
      <c r="A218" s="48" t="n"/>
      <c r="B218" s="48" t="n"/>
      <c r="C218" s="47" t="n"/>
      <c r="D218" s="48" t="n"/>
      <c r="E218" s="48" t="n"/>
      <c r="F218" s="48" t="n"/>
      <c r="G218" s="47" t="n"/>
      <c r="H218" s="50" t="n"/>
      <c r="I218" s="50" t="n"/>
      <c r="J218" s="50" t="n"/>
      <c r="K218" s="50" t="n"/>
      <c r="L218" s="49" t="n"/>
      <c r="M218" s="49" t="n"/>
      <c r="N218" s="49" t="n"/>
      <c r="O218" s="49" t="n"/>
      <c r="P218" s="50" t="n"/>
      <c r="Q218" s="49" t="n"/>
      <c r="R218" s="56">
        <f>IF(Q218="","",IFERROR(VLOOKUP(Q218,Lookups!$A$2:$B$8,2,FALSE),""))</f>
        <v/>
      </c>
      <c r="S218" s="53">
        <f>IF(B218="","",B218&amp;"|"&amp;TEXT(C218,"00"))</f>
        <v/>
      </c>
      <c r="T218" s="53">
        <f>IF(B218="","",B218&amp;"|"&amp;TEXT(C218-1,"00"))</f>
        <v/>
      </c>
      <c r="U218" s="53">
        <f>IFERROR(INDEX($Q:$Q,MATCH(T218,$S:$S,0)),"")</f>
        <v/>
      </c>
      <c r="V218" s="56">
        <f>IFERROR(INDEX($R:$R,MATCH(T218,$S:$S,0)),"")</f>
        <v/>
      </c>
      <c r="W218" s="56">
        <f>IF(U218="","",IF(Q218&lt;&gt;U218,1,0))</f>
        <v/>
      </c>
      <c r="X218" s="56">
        <f>IF(V218="","",IF(R218&lt;V218,1,0))</f>
        <v/>
      </c>
      <c r="Y218" s="56">
        <f>IF(V218="","",IF(R218&gt;V218,1,0))</f>
        <v/>
      </c>
      <c r="Z218" s="56">
        <f>IF(Q218="Pass",1,0)</f>
        <v/>
      </c>
      <c r="AA218" s="50" t="n"/>
      <c r="AB218" s="50" t="n"/>
      <c r="AC218" s="49" t="n"/>
      <c r="AD218" s="50" t="n"/>
      <c r="AE218" s="49" t="n"/>
    </row>
    <row r="219" ht="15.75" customHeight="1" s="40">
      <c r="A219" s="48" t="n"/>
      <c r="B219" s="48" t="n"/>
      <c r="C219" s="47" t="n"/>
      <c r="D219" s="48" t="n"/>
      <c r="E219" s="48" t="n"/>
      <c r="F219" s="48" t="n"/>
      <c r="G219" s="47" t="n"/>
      <c r="H219" s="50" t="n"/>
      <c r="I219" s="50" t="n"/>
      <c r="J219" s="50" t="n"/>
      <c r="K219" s="50" t="n"/>
      <c r="L219" s="49" t="n"/>
      <c r="M219" s="49" t="n"/>
      <c r="N219" s="49" t="n"/>
      <c r="O219" s="49" t="n"/>
      <c r="P219" s="50" t="n"/>
      <c r="Q219" s="49" t="n"/>
      <c r="R219" s="56">
        <f>IF(Q219="","",IFERROR(VLOOKUP(Q219,Lookups!$A$2:$B$8,2,FALSE),""))</f>
        <v/>
      </c>
      <c r="S219" s="53">
        <f>IF(B219="","",B219&amp;"|"&amp;TEXT(C219,"00"))</f>
        <v/>
      </c>
      <c r="T219" s="53">
        <f>IF(B219="","",B219&amp;"|"&amp;TEXT(C219-1,"00"))</f>
        <v/>
      </c>
      <c r="U219" s="53">
        <f>IFERROR(INDEX($Q:$Q,MATCH(T219,$S:$S,0)),"")</f>
        <v/>
      </c>
      <c r="V219" s="56">
        <f>IFERROR(INDEX($R:$R,MATCH(T219,$S:$S,0)),"")</f>
        <v/>
      </c>
      <c r="W219" s="56">
        <f>IF(U219="","",IF(Q219&lt;&gt;U219,1,0))</f>
        <v/>
      </c>
      <c r="X219" s="56">
        <f>IF(V219="","",IF(R219&lt;V219,1,0))</f>
        <v/>
      </c>
      <c r="Y219" s="56">
        <f>IF(V219="","",IF(R219&gt;V219,1,0))</f>
        <v/>
      </c>
      <c r="Z219" s="56">
        <f>IF(Q219="Pass",1,0)</f>
        <v/>
      </c>
      <c r="AA219" s="50" t="n"/>
      <c r="AB219" s="50" t="n"/>
      <c r="AC219" s="49" t="n"/>
      <c r="AD219" s="50" t="n"/>
      <c r="AE219" s="49" t="n"/>
    </row>
    <row r="220" ht="15.75" customHeight="1" s="40">
      <c r="A220" s="48" t="n"/>
      <c r="B220" s="48" t="n"/>
      <c r="C220" s="47" t="n"/>
      <c r="D220" s="48" t="n"/>
      <c r="E220" s="48" t="n"/>
      <c r="F220" s="48" t="n"/>
      <c r="G220" s="47" t="n"/>
      <c r="H220" s="50" t="n"/>
      <c r="I220" s="50" t="n"/>
      <c r="J220" s="50" t="n"/>
      <c r="K220" s="50" t="n"/>
      <c r="L220" s="49" t="n"/>
      <c r="M220" s="49" t="n"/>
      <c r="N220" s="49" t="n"/>
      <c r="O220" s="49" t="n"/>
      <c r="P220" s="50" t="n"/>
      <c r="Q220" s="49" t="n"/>
      <c r="R220" s="56">
        <f>IF(Q220="","",IFERROR(VLOOKUP(Q220,Lookups!$A$2:$B$8,2,FALSE),""))</f>
        <v/>
      </c>
      <c r="S220" s="53">
        <f>IF(B220="","",B220&amp;"|"&amp;TEXT(C220,"00"))</f>
        <v/>
      </c>
      <c r="T220" s="53">
        <f>IF(B220="","",B220&amp;"|"&amp;TEXT(C220-1,"00"))</f>
        <v/>
      </c>
      <c r="U220" s="53">
        <f>IFERROR(INDEX($Q:$Q,MATCH(T220,$S:$S,0)),"")</f>
        <v/>
      </c>
      <c r="V220" s="56">
        <f>IFERROR(INDEX($R:$R,MATCH(T220,$S:$S,0)),"")</f>
        <v/>
      </c>
      <c r="W220" s="56">
        <f>IF(U220="","",IF(Q220&lt;&gt;U220,1,0))</f>
        <v/>
      </c>
      <c r="X220" s="56">
        <f>IF(V220="","",IF(R220&lt;V220,1,0))</f>
        <v/>
      </c>
      <c r="Y220" s="56">
        <f>IF(V220="","",IF(R220&gt;V220,1,0))</f>
        <v/>
      </c>
      <c r="Z220" s="56">
        <f>IF(Q220="Pass",1,0)</f>
        <v/>
      </c>
      <c r="AA220" s="50" t="n"/>
      <c r="AB220" s="50" t="n"/>
      <c r="AC220" s="49" t="n"/>
      <c r="AD220" s="50" t="n"/>
      <c r="AE220" s="49" t="n"/>
    </row>
    <row r="221" ht="15.75" customHeight="1" s="40">
      <c r="A221" s="48" t="n"/>
      <c r="B221" s="48" t="n"/>
      <c r="C221" s="47" t="n"/>
      <c r="D221" s="48" t="n"/>
      <c r="E221" s="48" t="n"/>
      <c r="F221" s="48" t="n"/>
      <c r="G221" s="47" t="n"/>
      <c r="H221" s="50" t="n"/>
      <c r="I221" s="50" t="n"/>
      <c r="J221" s="50" t="n"/>
      <c r="K221" s="50" t="n"/>
      <c r="L221" s="49" t="n"/>
      <c r="M221" s="49" t="n"/>
      <c r="N221" s="49" t="n"/>
      <c r="O221" s="49" t="n"/>
      <c r="P221" s="50" t="n"/>
      <c r="Q221" s="49" t="n"/>
      <c r="R221" s="56">
        <f>IF(Q221="","",IFERROR(VLOOKUP(Q221,Lookups!$A$2:$B$8,2,FALSE),""))</f>
        <v/>
      </c>
      <c r="S221" s="53">
        <f>IF(B221="","",B221&amp;"|"&amp;TEXT(C221,"00"))</f>
        <v/>
      </c>
      <c r="T221" s="53">
        <f>IF(B221="","",B221&amp;"|"&amp;TEXT(C221-1,"00"))</f>
        <v/>
      </c>
      <c r="U221" s="53">
        <f>IFERROR(INDEX($Q:$Q,MATCH(T221,$S:$S,0)),"")</f>
        <v/>
      </c>
      <c r="V221" s="56">
        <f>IFERROR(INDEX($R:$R,MATCH(T221,$S:$S,0)),"")</f>
        <v/>
      </c>
      <c r="W221" s="56">
        <f>IF(U221="","",IF(Q221&lt;&gt;U221,1,0))</f>
        <v/>
      </c>
      <c r="X221" s="56">
        <f>IF(V221="","",IF(R221&lt;V221,1,0))</f>
        <v/>
      </c>
      <c r="Y221" s="56">
        <f>IF(V221="","",IF(R221&gt;V221,1,0))</f>
        <v/>
      </c>
      <c r="Z221" s="56">
        <f>IF(Q221="Pass",1,0)</f>
        <v/>
      </c>
      <c r="AA221" s="50" t="n"/>
      <c r="AB221" s="50" t="n"/>
      <c r="AC221" s="49" t="n"/>
      <c r="AD221" s="50" t="n"/>
      <c r="AE221" s="49" t="n"/>
    </row>
    <row r="222" ht="15.75" customHeight="1" s="40">
      <c r="A222" s="48" t="n"/>
      <c r="B222" s="48" t="n"/>
      <c r="C222" s="47" t="n"/>
      <c r="D222" s="48" t="n"/>
      <c r="E222" s="48" t="n"/>
      <c r="F222" s="48" t="n"/>
      <c r="G222" s="47" t="n"/>
      <c r="H222" s="50" t="n"/>
      <c r="I222" s="50" t="n"/>
      <c r="J222" s="50" t="n"/>
      <c r="K222" s="50" t="n"/>
      <c r="L222" s="49" t="n"/>
      <c r="M222" s="49" t="n"/>
      <c r="N222" s="49" t="n"/>
      <c r="O222" s="49" t="n"/>
      <c r="P222" s="50" t="n"/>
      <c r="Q222" s="49" t="n"/>
      <c r="R222" s="56">
        <f>IF(Q222="","",IFERROR(VLOOKUP(Q222,Lookups!$A$2:$B$8,2,FALSE),""))</f>
        <v/>
      </c>
      <c r="S222" s="53">
        <f>IF(B222="","",B222&amp;"|"&amp;TEXT(C222,"00"))</f>
        <v/>
      </c>
      <c r="T222" s="53">
        <f>IF(B222="","",B222&amp;"|"&amp;TEXT(C222-1,"00"))</f>
        <v/>
      </c>
      <c r="U222" s="53">
        <f>IFERROR(INDEX($Q:$Q,MATCH(T222,$S:$S,0)),"")</f>
        <v/>
      </c>
      <c r="V222" s="56">
        <f>IFERROR(INDEX($R:$R,MATCH(T222,$S:$S,0)),"")</f>
        <v/>
      </c>
      <c r="W222" s="56">
        <f>IF(U222="","",IF(Q222&lt;&gt;U222,1,0))</f>
        <v/>
      </c>
      <c r="X222" s="56">
        <f>IF(V222="","",IF(R222&lt;V222,1,0))</f>
        <v/>
      </c>
      <c r="Y222" s="56">
        <f>IF(V222="","",IF(R222&gt;V222,1,0))</f>
        <v/>
      </c>
      <c r="Z222" s="56">
        <f>IF(Q222="Pass",1,0)</f>
        <v/>
      </c>
      <c r="AA222" s="50" t="n"/>
      <c r="AB222" s="50" t="n"/>
      <c r="AC222" s="49" t="n"/>
      <c r="AD222" s="50" t="n"/>
      <c r="AE222" s="49" t="n"/>
    </row>
    <row r="223" ht="15.75" customHeight="1" s="40">
      <c r="A223" s="48" t="n"/>
      <c r="B223" s="48" t="n"/>
      <c r="C223" s="47" t="n"/>
      <c r="D223" s="48" t="n"/>
      <c r="E223" s="48" t="n"/>
      <c r="F223" s="48" t="n"/>
      <c r="G223" s="47" t="n"/>
      <c r="H223" s="50" t="n"/>
      <c r="I223" s="50" t="n"/>
      <c r="J223" s="50" t="n"/>
      <c r="K223" s="50" t="n"/>
      <c r="L223" s="49" t="n"/>
      <c r="M223" s="49" t="n"/>
      <c r="N223" s="49" t="n"/>
      <c r="O223" s="49" t="n"/>
      <c r="P223" s="50" t="n"/>
      <c r="Q223" s="49" t="n"/>
      <c r="R223" s="56">
        <f>IF(Q223="","",IFERROR(VLOOKUP(Q223,Lookups!$A$2:$B$8,2,FALSE),""))</f>
        <v/>
      </c>
      <c r="S223" s="53">
        <f>IF(B223="","",B223&amp;"|"&amp;TEXT(C223,"00"))</f>
        <v/>
      </c>
      <c r="T223" s="53">
        <f>IF(B223="","",B223&amp;"|"&amp;TEXT(C223-1,"00"))</f>
        <v/>
      </c>
      <c r="U223" s="53">
        <f>IFERROR(INDEX($Q:$Q,MATCH(T223,$S:$S,0)),"")</f>
        <v/>
      </c>
      <c r="V223" s="56">
        <f>IFERROR(INDEX($R:$R,MATCH(T223,$S:$S,0)),"")</f>
        <v/>
      </c>
      <c r="W223" s="56">
        <f>IF(U223="","",IF(Q223&lt;&gt;U223,1,0))</f>
        <v/>
      </c>
      <c r="X223" s="56">
        <f>IF(V223="","",IF(R223&lt;V223,1,0))</f>
        <v/>
      </c>
      <c r="Y223" s="56">
        <f>IF(V223="","",IF(R223&gt;V223,1,0))</f>
        <v/>
      </c>
      <c r="Z223" s="56">
        <f>IF(Q223="Pass",1,0)</f>
        <v/>
      </c>
      <c r="AA223" s="50" t="n"/>
      <c r="AB223" s="50" t="n"/>
      <c r="AC223" s="49" t="n"/>
      <c r="AD223" s="50" t="n"/>
      <c r="AE223" s="49" t="n"/>
    </row>
    <row r="224" ht="15.75" customHeight="1" s="40">
      <c r="A224" s="48" t="n"/>
      <c r="B224" s="48" t="n"/>
      <c r="C224" s="47" t="n"/>
      <c r="D224" s="48" t="n"/>
      <c r="E224" s="48" t="n"/>
      <c r="F224" s="48" t="n"/>
      <c r="G224" s="47" t="n"/>
      <c r="H224" s="50" t="n"/>
      <c r="I224" s="50" t="n"/>
      <c r="J224" s="50" t="n"/>
      <c r="K224" s="50" t="n"/>
      <c r="L224" s="49" t="n"/>
      <c r="M224" s="49" t="n"/>
      <c r="N224" s="49" t="n"/>
      <c r="O224" s="49" t="n"/>
      <c r="P224" s="50" t="n"/>
      <c r="Q224" s="49" t="n"/>
      <c r="R224" s="56">
        <f>IF(Q224="","",IFERROR(VLOOKUP(Q224,Lookups!$A$2:$B$8,2,FALSE),""))</f>
        <v/>
      </c>
      <c r="S224" s="53">
        <f>IF(B224="","",B224&amp;"|"&amp;TEXT(C224,"00"))</f>
        <v/>
      </c>
      <c r="T224" s="53">
        <f>IF(B224="","",B224&amp;"|"&amp;TEXT(C224-1,"00"))</f>
        <v/>
      </c>
      <c r="U224" s="53">
        <f>IFERROR(INDEX($Q:$Q,MATCH(T224,$S:$S,0)),"")</f>
        <v/>
      </c>
      <c r="V224" s="56">
        <f>IFERROR(INDEX($R:$R,MATCH(T224,$S:$S,0)),"")</f>
        <v/>
      </c>
      <c r="W224" s="56">
        <f>IF(U224="","",IF(Q224&lt;&gt;U224,1,0))</f>
        <v/>
      </c>
      <c r="X224" s="56">
        <f>IF(V224="","",IF(R224&lt;V224,1,0))</f>
        <v/>
      </c>
      <c r="Y224" s="56">
        <f>IF(V224="","",IF(R224&gt;V224,1,0))</f>
        <v/>
      </c>
      <c r="Z224" s="56">
        <f>IF(Q224="Pass",1,0)</f>
        <v/>
      </c>
      <c r="AA224" s="50" t="n"/>
      <c r="AB224" s="50" t="n"/>
      <c r="AC224" s="49" t="n"/>
      <c r="AD224" s="50" t="n"/>
      <c r="AE224" s="49" t="n"/>
    </row>
    <row r="225" ht="15.75" customHeight="1" s="40">
      <c r="A225" s="48" t="n"/>
      <c r="B225" s="48" t="n"/>
      <c r="C225" s="47" t="n"/>
      <c r="D225" s="48" t="n"/>
      <c r="E225" s="48" t="n"/>
      <c r="F225" s="48" t="n"/>
      <c r="G225" s="47" t="n"/>
      <c r="H225" s="50" t="n"/>
      <c r="I225" s="50" t="n"/>
      <c r="J225" s="50" t="n"/>
      <c r="K225" s="50" t="n"/>
      <c r="L225" s="49" t="n"/>
      <c r="M225" s="49" t="n"/>
      <c r="N225" s="49" t="n"/>
      <c r="O225" s="49" t="n"/>
      <c r="P225" s="50" t="n"/>
      <c r="Q225" s="49" t="n"/>
      <c r="R225" s="56">
        <f>IF(Q225="","",IFERROR(VLOOKUP(Q225,Lookups!$A$2:$B$8,2,FALSE),""))</f>
        <v/>
      </c>
      <c r="S225" s="53">
        <f>IF(B225="","",B225&amp;"|"&amp;TEXT(C225,"00"))</f>
        <v/>
      </c>
      <c r="T225" s="53">
        <f>IF(B225="","",B225&amp;"|"&amp;TEXT(C225-1,"00"))</f>
        <v/>
      </c>
      <c r="U225" s="53">
        <f>IFERROR(INDEX($Q:$Q,MATCH(T225,$S:$S,0)),"")</f>
        <v/>
      </c>
      <c r="V225" s="56">
        <f>IFERROR(INDEX($R:$R,MATCH(T225,$S:$S,0)),"")</f>
        <v/>
      </c>
      <c r="W225" s="56">
        <f>IF(U225="","",IF(Q225&lt;&gt;U225,1,0))</f>
        <v/>
      </c>
      <c r="X225" s="56">
        <f>IF(V225="","",IF(R225&lt;V225,1,0))</f>
        <v/>
      </c>
      <c r="Y225" s="56">
        <f>IF(V225="","",IF(R225&gt;V225,1,0))</f>
        <v/>
      </c>
      <c r="Z225" s="56">
        <f>IF(Q225="Pass",1,0)</f>
        <v/>
      </c>
      <c r="AA225" s="50" t="n"/>
      <c r="AB225" s="50" t="n"/>
      <c r="AC225" s="49" t="n"/>
      <c r="AD225" s="50" t="n"/>
      <c r="AE225" s="49" t="n"/>
    </row>
    <row r="226" ht="15.75" customHeight="1" s="40">
      <c r="A226" s="48" t="n"/>
      <c r="B226" s="48" t="n"/>
      <c r="C226" s="47" t="n"/>
      <c r="D226" s="48" t="n"/>
      <c r="E226" s="48" t="n"/>
      <c r="F226" s="48" t="n"/>
      <c r="G226" s="47" t="n"/>
      <c r="H226" s="50" t="n"/>
      <c r="I226" s="50" t="n"/>
      <c r="J226" s="50" t="n"/>
      <c r="K226" s="50" t="n"/>
      <c r="L226" s="49" t="n"/>
      <c r="M226" s="49" t="n"/>
      <c r="N226" s="49" t="n"/>
      <c r="O226" s="49" t="n"/>
      <c r="P226" s="50" t="n"/>
      <c r="Q226" s="49" t="n"/>
      <c r="R226" s="56">
        <f>IF(Q226="","",IFERROR(VLOOKUP(Q226,Lookups!$A$2:$B$8,2,FALSE),""))</f>
        <v/>
      </c>
      <c r="S226" s="53">
        <f>IF(B226="","",B226&amp;"|"&amp;TEXT(C226,"00"))</f>
        <v/>
      </c>
      <c r="T226" s="53">
        <f>IF(B226="","",B226&amp;"|"&amp;TEXT(C226-1,"00"))</f>
        <v/>
      </c>
      <c r="U226" s="53">
        <f>IFERROR(INDEX($Q:$Q,MATCH(T226,$S:$S,0)),"")</f>
        <v/>
      </c>
      <c r="V226" s="56">
        <f>IFERROR(INDEX($R:$R,MATCH(T226,$S:$S,0)),"")</f>
        <v/>
      </c>
      <c r="W226" s="56">
        <f>IF(U226="","",IF(Q226&lt;&gt;U226,1,0))</f>
        <v/>
      </c>
      <c r="X226" s="56">
        <f>IF(V226="","",IF(R226&lt;V226,1,0))</f>
        <v/>
      </c>
      <c r="Y226" s="56">
        <f>IF(V226="","",IF(R226&gt;V226,1,0))</f>
        <v/>
      </c>
      <c r="Z226" s="56">
        <f>IF(Q226="Pass",1,0)</f>
        <v/>
      </c>
      <c r="AA226" s="50" t="n"/>
      <c r="AB226" s="50" t="n"/>
      <c r="AC226" s="49" t="n"/>
      <c r="AD226" s="50" t="n"/>
      <c r="AE226" s="49" t="n"/>
    </row>
    <row r="227" ht="15.75" customHeight="1" s="40">
      <c r="A227" s="48" t="n"/>
      <c r="B227" s="48" t="n"/>
      <c r="C227" s="47" t="n"/>
      <c r="D227" s="48" t="n"/>
      <c r="E227" s="48" t="n"/>
      <c r="F227" s="48" t="n"/>
      <c r="G227" s="47" t="n"/>
      <c r="H227" s="50" t="n"/>
      <c r="I227" s="50" t="n"/>
      <c r="J227" s="50" t="n"/>
      <c r="K227" s="50" t="n"/>
      <c r="L227" s="49" t="n"/>
      <c r="M227" s="49" t="n"/>
      <c r="N227" s="49" t="n"/>
      <c r="O227" s="49" t="n"/>
      <c r="P227" s="50" t="n"/>
      <c r="Q227" s="49" t="n"/>
      <c r="R227" s="56">
        <f>IF(Q227="","",IFERROR(VLOOKUP(Q227,Lookups!$A$2:$B$8,2,FALSE),""))</f>
        <v/>
      </c>
      <c r="S227" s="53">
        <f>IF(B227="","",B227&amp;"|"&amp;TEXT(C227,"00"))</f>
        <v/>
      </c>
      <c r="T227" s="53">
        <f>IF(B227="","",B227&amp;"|"&amp;TEXT(C227-1,"00"))</f>
        <v/>
      </c>
      <c r="U227" s="53">
        <f>IFERROR(INDEX($Q:$Q,MATCH(T227,$S:$S,0)),"")</f>
        <v/>
      </c>
      <c r="V227" s="56">
        <f>IFERROR(INDEX($R:$R,MATCH(T227,$S:$S,0)),"")</f>
        <v/>
      </c>
      <c r="W227" s="56">
        <f>IF(U227="","",IF(Q227&lt;&gt;U227,1,0))</f>
        <v/>
      </c>
      <c r="X227" s="56">
        <f>IF(V227="","",IF(R227&lt;V227,1,0))</f>
        <v/>
      </c>
      <c r="Y227" s="56">
        <f>IF(V227="","",IF(R227&gt;V227,1,0))</f>
        <v/>
      </c>
      <c r="Z227" s="56">
        <f>IF(Q227="Pass",1,0)</f>
        <v/>
      </c>
      <c r="AA227" s="50" t="n"/>
      <c r="AB227" s="50" t="n"/>
      <c r="AC227" s="49" t="n"/>
      <c r="AD227" s="50" t="n"/>
      <c r="AE227" s="49" t="n"/>
    </row>
    <row r="228" ht="15.75" customHeight="1" s="40">
      <c r="A228" s="48" t="n"/>
      <c r="B228" s="48" t="n"/>
      <c r="C228" s="47" t="n"/>
      <c r="D228" s="48" t="n"/>
      <c r="E228" s="48" t="n"/>
      <c r="F228" s="48" t="n"/>
      <c r="G228" s="47" t="n"/>
      <c r="H228" s="50" t="n"/>
      <c r="I228" s="50" t="n"/>
      <c r="J228" s="50" t="n"/>
      <c r="K228" s="50" t="n"/>
      <c r="L228" s="49" t="n"/>
      <c r="M228" s="49" t="n"/>
      <c r="N228" s="49" t="n"/>
      <c r="O228" s="49" t="n"/>
      <c r="P228" s="50" t="n"/>
      <c r="Q228" s="49" t="n"/>
      <c r="R228" s="56">
        <f>IF(Q228="","",IFERROR(VLOOKUP(Q228,Lookups!$A$2:$B$8,2,FALSE),""))</f>
        <v/>
      </c>
      <c r="S228" s="53">
        <f>IF(B228="","",B228&amp;"|"&amp;TEXT(C228,"00"))</f>
        <v/>
      </c>
      <c r="T228" s="53">
        <f>IF(B228="","",B228&amp;"|"&amp;TEXT(C228-1,"00"))</f>
        <v/>
      </c>
      <c r="U228" s="53">
        <f>IFERROR(INDEX($Q:$Q,MATCH(T228,$S:$S,0)),"")</f>
        <v/>
      </c>
      <c r="V228" s="56">
        <f>IFERROR(INDEX($R:$R,MATCH(T228,$S:$S,0)),"")</f>
        <v/>
      </c>
      <c r="W228" s="56">
        <f>IF(U228="","",IF(Q228&lt;&gt;U228,1,0))</f>
        <v/>
      </c>
      <c r="X228" s="56">
        <f>IF(V228="","",IF(R228&lt;V228,1,0))</f>
        <v/>
      </c>
      <c r="Y228" s="56">
        <f>IF(V228="","",IF(R228&gt;V228,1,0))</f>
        <v/>
      </c>
      <c r="Z228" s="56">
        <f>IF(Q228="Pass",1,0)</f>
        <v/>
      </c>
      <c r="AA228" s="50" t="n"/>
      <c r="AB228" s="50" t="n"/>
      <c r="AC228" s="49" t="n"/>
      <c r="AD228" s="50" t="n"/>
      <c r="AE228" s="49" t="n"/>
    </row>
    <row r="229" ht="15.75" customHeight="1" s="40">
      <c r="A229" s="48" t="n"/>
      <c r="B229" s="48" t="n"/>
      <c r="C229" s="47" t="n"/>
      <c r="D229" s="48" t="n"/>
      <c r="E229" s="48" t="n"/>
      <c r="F229" s="48" t="n"/>
      <c r="G229" s="47" t="n"/>
      <c r="H229" s="50" t="n"/>
      <c r="I229" s="50" t="n"/>
      <c r="J229" s="50" t="n"/>
      <c r="K229" s="50" t="n"/>
      <c r="L229" s="49" t="n"/>
      <c r="M229" s="49" t="n"/>
      <c r="N229" s="49" t="n"/>
      <c r="O229" s="49" t="n"/>
      <c r="P229" s="50" t="n"/>
      <c r="Q229" s="49" t="n"/>
      <c r="R229" s="56">
        <f>IF(Q229="","",IFERROR(VLOOKUP(Q229,Lookups!$A$2:$B$8,2,FALSE),""))</f>
        <v/>
      </c>
      <c r="S229" s="53">
        <f>IF(B229="","",B229&amp;"|"&amp;TEXT(C229,"00"))</f>
        <v/>
      </c>
      <c r="T229" s="53">
        <f>IF(B229="","",B229&amp;"|"&amp;TEXT(C229-1,"00"))</f>
        <v/>
      </c>
      <c r="U229" s="53">
        <f>IFERROR(INDEX($Q:$Q,MATCH(T229,$S:$S,0)),"")</f>
        <v/>
      </c>
      <c r="V229" s="56">
        <f>IFERROR(INDEX($R:$R,MATCH(T229,$S:$S,0)),"")</f>
        <v/>
      </c>
      <c r="W229" s="56">
        <f>IF(U229="","",IF(Q229&lt;&gt;U229,1,0))</f>
        <v/>
      </c>
      <c r="X229" s="56">
        <f>IF(V229="","",IF(R229&lt;V229,1,0))</f>
        <v/>
      </c>
      <c r="Y229" s="56">
        <f>IF(V229="","",IF(R229&gt;V229,1,0))</f>
        <v/>
      </c>
      <c r="Z229" s="56">
        <f>IF(Q229="Pass",1,0)</f>
        <v/>
      </c>
      <c r="AA229" s="50" t="n"/>
      <c r="AB229" s="50" t="n"/>
      <c r="AC229" s="49" t="n"/>
      <c r="AD229" s="50" t="n"/>
      <c r="AE229" s="49" t="n"/>
    </row>
    <row r="230" ht="15.75" customHeight="1" s="40">
      <c r="A230" s="48" t="n"/>
      <c r="B230" s="48" t="n"/>
      <c r="C230" s="47" t="n"/>
      <c r="D230" s="48" t="n"/>
      <c r="E230" s="48" t="n"/>
      <c r="F230" s="48" t="n"/>
      <c r="G230" s="47" t="n"/>
      <c r="H230" s="50" t="n"/>
      <c r="I230" s="50" t="n"/>
      <c r="J230" s="50" t="n"/>
      <c r="K230" s="50" t="n"/>
      <c r="L230" s="49" t="n"/>
      <c r="M230" s="49" t="n"/>
      <c r="N230" s="49" t="n"/>
      <c r="O230" s="49" t="n"/>
      <c r="P230" s="50" t="n"/>
      <c r="Q230" s="49" t="n"/>
      <c r="R230" s="56">
        <f>IF(Q230="","",IFERROR(VLOOKUP(Q230,Lookups!$A$2:$B$8,2,FALSE),""))</f>
        <v/>
      </c>
      <c r="S230" s="53">
        <f>IF(B230="","",B230&amp;"|"&amp;TEXT(C230,"00"))</f>
        <v/>
      </c>
      <c r="T230" s="53">
        <f>IF(B230="","",B230&amp;"|"&amp;TEXT(C230-1,"00"))</f>
        <v/>
      </c>
      <c r="U230" s="53">
        <f>IFERROR(INDEX($Q:$Q,MATCH(T230,$S:$S,0)),"")</f>
        <v/>
      </c>
      <c r="V230" s="56">
        <f>IFERROR(INDEX($R:$R,MATCH(T230,$S:$S,0)),"")</f>
        <v/>
      </c>
      <c r="W230" s="56">
        <f>IF(U230="","",IF(Q230&lt;&gt;U230,1,0))</f>
        <v/>
      </c>
      <c r="X230" s="56">
        <f>IF(V230="","",IF(R230&lt;V230,1,0))</f>
        <v/>
      </c>
      <c r="Y230" s="56">
        <f>IF(V230="","",IF(R230&gt;V230,1,0))</f>
        <v/>
      </c>
      <c r="Z230" s="56">
        <f>IF(Q230="Pass",1,0)</f>
        <v/>
      </c>
      <c r="AA230" s="50" t="n"/>
      <c r="AB230" s="50" t="n"/>
      <c r="AC230" s="49" t="n"/>
      <c r="AD230" s="50" t="n"/>
      <c r="AE230" s="49" t="n"/>
    </row>
    <row r="231" ht="15.75" customHeight="1" s="40">
      <c r="A231" s="48" t="n"/>
      <c r="B231" s="48" t="n"/>
      <c r="C231" s="47" t="n"/>
      <c r="D231" s="48" t="n"/>
      <c r="E231" s="48" t="n"/>
      <c r="F231" s="48" t="n"/>
      <c r="G231" s="47" t="n"/>
      <c r="H231" s="50" t="n"/>
      <c r="I231" s="50" t="n"/>
      <c r="J231" s="50" t="n"/>
      <c r="K231" s="50" t="n"/>
      <c r="L231" s="49" t="n"/>
      <c r="M231" s="49" t="n"/>
      <c r="N231" s="49" t="n"/>
      <c r="O231" s="49" t="n"/>
      <c r="P231" s="50" t="n"/>
      <c r="Q231" s="49" t="n"/>
      <c r="R231" s="56">
        <f>IF(Q231="","",IFERROR(VLOOKUP(Q231,Lookups!$A$2:$B$8,2,FALSE),""))</f>
        <v/>
      </c>
      <c r="S231" s="53">
        <f>IF(B231="","",B231&amp;"|"&amp;TEXT(C231,"00"))</f>
        <v/>
      </c>
      <c r="T231" s="53">
        <f>IF(B231="","",B231&amp;"|"&amp;TEXT(C231-1,"00"))</f>
        <v/>
      </c>
      <c r="U231" s="53">
        <f>IFERROR(INDEX($Q:$Q,MATCH(T231,$S:$S,0)),"")</f>
        <v/>
      </c>
      <c r="V231" s="56">
        <f>IFERROR(INDEX($R:$R,MATCH(T231,$S:$S,0)),"")</f>
        <v/>
      </c>
      <c r="W231" s="56">
        <f>IF(U231="","",IF(Q231&lt;&gt;U231,1,0))</f>
        <v/>
      </c>
      <c r="X231" s="56">
        <f>IF(V231="","",IF(R231&lt;V231,1,0))</f>
        <v/>
      </c>
      <c r="Y231" s="56">
        <f>IF(V231="","",IF(R231&gt;V231,1,0))</f>
        <v/>
      </c>
      <c r="Z231" s="56">
        <f>IF(Q231="Pass",1,0)</f>
        <v/>
      </c>
      <c r="AA231" s="50" t="n"/>
      <c r="AB231" s="50" t="n"/>
      <c r="AC231" s="49" t="n"/>
      <c r="AD231" s="50" t="n"/>
      <c r="AE231" s="49" t="n"/>
    </row>
    <row r="232" ht="15.75" customHeight="1" s="40">
      <c r="A232" s="48" t="n"/>
      <c r="B232" s="48" t="n"/>
      <c r="C232" s="47" t="n"/>
      <c r="D232" s="48" t="n"/>
      <c r="E232" s="48" t="n"/>
      <c r="F232" s="48" t="n"/>
      <c r="G232" s="47" t="n"/>
      <c r="H232" s="50" t="n"/>
      <c r="I232" s="50" t="n"/>
      <c r="J232" s="50" t="n"/>
      <c r="K232" s="50" t="n"/>
      <c r="L232" s="49" t="n"/>
      <c r="M232" s="49" t="n"/>
      <c r="N232" s="49" t="n"/>
      <c r="O232" s="49" t="n"/>
      <c r="P232" s="50" t="n"/>
      <c r="Q232" s="49" t="n"/>
      <c r="R232" s="56">
        <f>IF(Q232="","",IFERROR(VLOOKUP(Q232,Lookups!$A$2:$B$8,2,FALSE),""))</f>
        <v/>
      </c>
      <c r="S232" s="53">
        <f>IF(B232="","",B232&amp;"|"&amp;TEXT(C232,"00"))</f>
        <v/>
      </c>
      <c r="T232" s="53">
        <f>IF(B232="","",B232&amp;"|"&amp;TEXT(C232-1,"00"))</f>
        <v/>
      </c>
      <c r="U232" s="53">
        <f>IFERROR(INDEX($Q:$Q,MATCH(T232,$S:$S,0)),"")</f>
        <v/>
      </c>
      <c r="V232" s="56">
        <f>IFERROR(INDEX($R:$R,MATCH(T232,$S:$S,0)),"")</f>
        <v/>
      </c>
      <c r="W232" s="56">
        <f>IF(U232="","",IF(Q232&lt;&gt;U232,1,0))</f>
        <v/>
      </c>
      <c r="X232" s="56">
        <f>IF(V232="","",IF(R232&lt;V232,1,0))</f>
        <v/>
      </c>
      <c r="Y232" s="56">
        <f>IF(V232="","",IF(R232&gt;V232,1,0))</f>
        <v/>
      </c>
      <c r="Z232" s="56">
        <f>IF(Q232="Pass",1,0)</f>
        <v/>
      </c>
      <c r="AA232" s="50" t="n"/>
      <c r="AB232" s="50" t="n"/>
      <c r="AC232" s="49" t="n"/>
      <c r="AD232" s="50" t="n"/>
      <c r="AE232" s="49" t="n"/>
    </row>
    <row r="233" ht="15.75" customHeight="1" s="40">
      <c r="A233" s="48" t="n"/>
      <c r="B233" s="48" t="n"/>
      <c r="C233" s="47" t="n"/>
      <c r="D233" s="48" t="n"/>
      <c r="E233" s="48" t="n"/>
      <c r="F233" s="48" t="n"/>
      <c r="G233" s="47" t="n"/>
      <c r="H233" s="50" t="n"/>
      <c r="I233" s="50" t="n"/>
      <c r="J233" s="50" t="n"/>
      <c r="K233" s="50" t="n"/>
      <c r="L233" s="49" t="n"/>
      <c r="M233" s="49" t="n"/>
      <c r="N233" s="49" t="n"/>
      <c r="O233" s="49" t="n"/>
      <c r="P233" s="50" t="n"/>
      <c r="Q233" s="49" t="n"/>
      <c r="R233" s="56">
        <f>IF(Q233="","",IFERROR(VLOOKUP(Q233,Lookups!$A$2:$B$8,2,FALSE),""))</f>
        <v/>
      </c>
      <c r="S233" s="53">
        <f>IF(B233="","",B233&amp;"|"&amp;TEXT(C233,"00"))</f>
        <v/>
      </c>
      <c r="T233" s="53">
        <f>IF(B233="","",B233&amp;"|"&amp;TEXT(C233-1,"00"))</f>
        <v/>
      </c>
      <c r="U233" s="53">
        <f>IFERROR(INDEX($Q:$Q,MATCH(T233,$S:$S,0)),"")</f>
        <v/>
      </c>
      <c r="V233" s="56">
        <f>IFERROR(INDEX($R:$R,MATCH(T233,$S:$S,0)),"")</f>
        <v/>
      </c>
      <c r="W233" s="56">
        <f>IF(U233="","",IF(Q233&lt;&gt;U233,1,0))</f>
        <v/>
      </c>
      <c r="X233" s="56">
        <f>IF(V233="","",IF(R233&lt;V233,1,0))</f>
        <v/>
      </c>
      <c r="Y233" s="56">
        <f>IF(V233="","",IF(R233&gt;V233,1,0))</f>
        <v/>
      </c>
      <c r="Z233" s="56">
        <f>IF(Q233="Pass",1,0)</f>
        <v/>
      </c>
      <c r="AA233" s="50" t="n"/>
      <c r="AB233" s="50" t="n"/>
      <c r="AC233" s="49" t="n"/>
      <c r="AD233" s="50" t="n"/>
      <c r="AE233" s="49" t="n"/>
    </row>
    <row r="234" ht="15.75" customHeight="1" s="40">
      <c r="A234" s="48" t="n"/>
      <c r="B234" s="48" t="n"/>
      <c r="C234" s="47" t="n"/>
      <c r="D234" s="48" t="n"/>
      <c r="E234" s="48" t="n"/>
      <c r="F234" s="48" t="n"/>
      <c r="G234" s="47" t="n"/>
      <c r="H234" s="50" t="n"/>
      <c r="I234" s="50" t="n"/>
      <c r="J234" s="50" t="n"/>
      <c r="K234" s="50" t="n"/>
      <c r="L234" s="49" t="n"/>
      <c r="M234" s="49" t="n"/>
      <c r="N234" s="49" t="n"/>
      <c r="O234" s="49" t="n"/>
      <c r="P234" s="50" t="n"/>
      <c r="Q234" s="49" t="n"/>
      <c r="R234" s="56">
        <f>IF(Q234="","",IFERROR(VLOOKUP(Q234,Lookups!$A$2:$B$8,2,FALSE),""))</f>
        <v/>
      </c>
      <c r="S234" s="53">
        <f>IF(B234="","",B234&amp;"|"&amp;TEXT(C234,"00"))</f>
        <v/>
      </c>
      <c r="T234" s="53">
        <f>IF(B234="","",B234&amp;"|"&amp;TEXT(C234-1,"00"))</f>
        <v/>
      </c>
      <c r="U234" s="53">
        <f>IFERROR(INDEX($Q:$Q,MATCH(T234,$S:$S,0)),"")</f>
        <v/>
      </c>
      <c r="V234" s="56">
        <f>IFERROR(INDEX($R:$R,MATCH(T234,$S:$S,0)),"")</f>
        <v/>
      </c>
      <c r="W234" s="56">
        <f>IF(U234="","",IF(Q234&lt;&gt;U234,1,0))</f>
        <v/>
      </c>
      <c r="X234" s="56">
        <f>IF(V234="","",IF(R234&lt;V234,1,0))</f>
        <v/>
      </c>
      <c r="Y234" s="56">
        <f>IF(V234="","",IF(R234&gt;V234,1,0))</f>
        <v/>
      </c>
      <c r="Z234" s="56">
        <f>IF(Q234="Pass",1,0)</f>
        <v/>
      </c>
      <c r="AA234" s="50" t="n"/>
      <c r="AB234" s="50" t="n"/>
      <c r="AC234" s="49" t="n"/>
      <c r="AD234" s="50" t="n"/>
      <c r="AE234" s="49" t="n"/>
    </row>
    <row r="235" ht="15.75" customHeight="1" s="40">
      <c r="A235" s="48" t="n"/>
      <c r="B235" s="48" t="n"/>
      <c r="C235" s="47" t="n"/>
      <c r="D235" s="48" t="n"/>
      <c r="E235" s="48" t="n"/>
      <c r="F235" s="48" t="n"/>
      <c r="G235" s="47" t="n"/>
      <c r="H235" s="50" t="n"/>
      <c r="I235" s="50" t="n"/>
      <c r="J235" s="50" t="n"/>
      <c r="K235" s="50" t="n"/>
      <c r="L235" s="49" t="n"/>
      <c r="M235" s="49" t="n"/>
      <c r="N235" s="49" t="n"/>
      <c r="O235" s="49" t="n"/>
      <c r="P235" s="50" t="n"/>
      <c r="Q235" s="49" t="n"/>
      <c r="R235" s="56">
        <f>IF(Q235="","",IFERROR(VLOOKUP(Q235,Lookups!$A$2:$B$8,2,FALSE),""))</f>
        <v/>
      </c>
      <c r="S235" s="53">
        <f>IF(B235="","",B235&amp;"|"&amp;TEXT(C235,"00"))</f>
        <v/>
      </c>
      <c r="T235" s="53">
        <f>IF(B235="","",B235&amp;"|"&amp;TEXT(C235-1,"00"))</f>
        <v/>
      </c>
      <c r="U235" s="53">
        <f>IFERROR(INDEX($Q:$Q,MATCH(T235,$S:$S,0)),"")</f>
        <v/>
      </c>
      <c r="V235" s="56">
        <f>IFERROR(INDEX($R:$R,MATCH(T235,$S:$S,0)),"")</f>
        <v/>
      </c>
      <c r="W235" s="56">
        <f>IF(U235="","",IF(Q235&lt;&gt;U235,1,0))</f>
        <v/>
      </c>
      <c r="X235" s="56">
        <f>IF(V235="","",IF(R235&lt;V235,1,0))</f>
        <v/>
      </c>
      <c r="Y235" s="56">
        <f>IF(V235="","",IF(R235&gt;V235,1,0))</f>
        <v/>
      </c>
      <c r="Z235" s="56">
        <f>IF(Q235="Pass",1,0)</f>
        <v/>
      </c>
      <c r="AA235" s="50" t="n"/>
      <c r="AB235" s="50" t="n"/>
      <c r="AC235" s="49" t="n"/>
      <c r="AD235" s="50" t="n"/>
      <c r="AE235" s="49" t="n"/>
    </row>
    <row r="236" ht="15.75" customHeight="1" s="40">
      <c r="A236" s="48" t="n"/>
      <c r="B236" s="48" t="n"/>
      <c r="C236" s="47" t="n"/>
      <c r="D236" s="48" t="n"/>
      <c r="E236" s="48" t="n"/>
      <c r="F236" s="48" t="n"/>
      <c r="G236" s="47" t="n"/>
      <c r="H236" s="50" t="n"/>
      <c r="I236" s="50" t="n"/>
      <c r="J236" s="50" t="n"/>
      <c r="K236" s="50" t="n"/>
      <c r="L236" s="49" t="n"/>
      <c r="M236" s="49" t="n"/>
      <c r="N236" s="49" t="n"/>
      <c r="O236" s="49" t="n"/>
      <c r="P236" s="50" t="n"/>
      <c r="Q236" s="49" t="n"/>
      <c r="R236" s="56">
        <f>IF(Q236="","",IFERROR(VLOOKUP(Q236,Lookups!$A$2:$B$8,2,FALSE),""))</f>
        <v/>
      </c>
      <c r="S236" s="53">
        <f>IF(B236="","",B236&amp;"|"&amp;TEXT(C236,"00"))</f>
        <v/>
      </c>
      <c r="T236" s="53">
        <f>IF(B236="","",B236&amp;"|"&amp;TEXT(C236-1,"00"))</f>
        <v/>
      </c>
      <c r="U236" s="53">
        <f>IFERROR(INDEX($Q:$Q,MATCH(T236,$S:$S,0)),"")</f>
        <v/>
      </c>
      <c r="V236" s="56">
        <f>IFERROR(INDEX($R:$R,MATCH(T236,$S:$S,0)),"")</f>
        <v/>
      </c>
      <c r="W236" s="56">
        <f>IF(U236="","",IF(Q236&lt;&gt;U236,1,0))</f>
        <v/>
      </c>
      <c r="X236" s="56">
        <f>IF(V236="","",IF(R236&lt;V236,1,0))</f>
        <v/>
      </c>
      <c r="Y236" s="56">
        <f>IF(V236="","",IF(R236&gt;V236,1,0))</f>
        <v/>
      </c>
      <c r="Z236" s="56">
        <f>IF(Q236="Pass",1,0)</f>
        <v/>
      </c>
      <c r="AA236" s="50" t="n"/>
      <c r="AB236" s="50" t="n"/>
      <c r="AC236" s="49" t="n"/>
      <c r="AD236" s="50" t="n"/>
      <c r="AE236" s="49" t="n"/>
    </row>
    <row r="237" ht="15.75" customHeight="1" s="40">
      <c r="A237" s="48" t="n"/>
      <c r="B237" s="48" t="n"/>
      <c r="C237" s="47" t="n"/>
      <c r="D237" s="48" t="n"/>
      <c r="E237" s="48" t="n"/>
      <c r="F237" s="48" t="n"/>
      <c r="G237" s="47" t="n"/>
      <c r="H237" s="50" t="n"/>
      <c r="I237" s="50" t="n"/>
      <c r="J237" s="50" t="n"/>
      <c r="K237" s="50" t="n"/>
      <c r="L237" s="49" t="n"/>
      <c r="M237" s="49" t="n"/>
      <c r="N237" s="49" t="n"/>
      <c r="O237" s="49" t="n"/>
      <c r="P237" s="50" t="n"/>
      <c r="Q237" s="49" t="n"/>
      <c r="R237" s="56">
        <f>IF(Q237="","",IFERROR(VLOOKUP(Q237,Lookups!$A$2:$B$8,2,FALSE),""))</f>
        <v/>
      </c>
      <c r="S237" s="53">
        <f>IF(B237="","",B237&amp;"|"&amp;TEXT(C237,"00"))</f>
        <v/>
      </c>
      <c r="T237" s="53">
        <f>IF(B237="","",B237&amp;"|"&amp;TEXT(C237-1,"00"))</f>
        <v/>
      </c>
      <c r="U237" s="53">
        <f>IFERROR(INDEX($Q:$Q,MATCH(T237,$S:$S,0)),"")</f>
        <v/>
      </c>
      <c r="V237" s="56">
        <f>IFERROR(INDEX($R:$R,MATCH(T237,$S:$S,0)),"")</f>
        <v/>
      </c>
      <c r="W237" s="56">
        <f>IF(U237="","",IF(Q237&lt;&gt;U237,1,0))</f>
        <v/>
      </c>
      <c r="X237" s="56">
        <f>IF(V237="","",IF(R237&lt;V237,1,0))</f>
        <v/>
      </c>
      <c r="Y237" s="56">
        <f>IF(V237="","",IF(R237&gt;V237,1,0))</f>
        <v/>
      </c>
      <c r="Z237" s="56">
        <f>IF(Q237="Pass",1,0)</f>
        <v/>
      </c>
      <c r="AA237" s="50" t="n"/>
      <c r="AB237" s="50" t="n"/>
      <c r="AC237" s="49" t="n"/>
      <c r="AD237" s="50" t="n"/>
      <c r="AE237" s="49" t="n"/>
    </row>
    <row r="238" ht="15.75" customHeight="1" s="40">
      <c r="A238" s="48" t="n"/>
      <c r="B238" s="48" t="n"/>
      <c r="C238" s="47" t="n"/>
      <c r="D238" s="48" t="n"/>
      <c r="E238" s="48" t="n"/>
      <c r="F238" s="48" t="n"/>
      <c r="G238" s="47" t="n"/>
      <c r="H238" s="50" t="n"/>
      <c r="I238" s="50" t="n"/>
      <c r="J238" s="50" t="n"/>
      <c r="K238" s="50" t="n"/>
      <c r="L238" s="49" t="n"/>
      <c r="M238" s="49" t="n"/>
      <c r="N238" s="49" t="n"/>
      <c r="O238" s="49" t="n"/>
      <c r="P238" s="50" t="n"/>
      <c r="Q238" s="49" t="n"/>
      <c r="R238" s="56">
        <f>IF(Q238="","",IFERROR(VLOOKUP(Q238,Lookups!$A$2:$B$8,2,FALSE),""))</f>
        <v/>
      </c>
      <c r="S238" s="53">
        <f>IF(B238="","",B238&amp;"|"&amp;TEXT(C238,"00"))</f>
        <v/>
      </c>
      <c r="T238" s="53">
        <f>IF(B238="","",B238&amp;"|"&amp;TEXT(C238-1,"00"))</f>
        <v/>
      </c>
      <c r="U238" s="53">
        <f>IFERROR(INDEX($Q:$Q,MATCH(T238,$S:$S,0)),"")</f>
        <v/>
      </c>
      <c r="V238" s="56">
        <f>IFERROR(INDEX($R:$R,MATCH(T238,$S:$S,0)),"")</f>
        <v/>
      </c>
      <c r="W238" s="56">
        <f>IF(U238="","",IF(Q238&lt;&gt;U238,1,0))</f>
        <v/>
      </c>
      <c r="X238" s="56">
        <f>IF(V238="","",IF(R238&lt;V238,1,0))</f>
        <v/>
      </c>
      <c r="Y238" s="56">
        <f>IF(V238="","",IF(R238&gt;V238,1,0))</f>
        <v/>
      </c>
      <c r="Z238" s="56">
        <f>IF(Q238="Pass",1,0)</f>
        <v/>
      </c>
      <c r="AA238" s="50" t="n"/>
      <c r="AB238" s="50" t="n"/>
      <c r="AC238" s="49" t="n"/>
      <c r="AD238" s="50" t="n"/>
      <c r="AE238" s="49" t="n"/>
    </row>
    <row r="239" ht="15.75" customHeight="1" s="40">
      <c r="A239" s="48" t="n"/>
      <c r="B239" s="48" t="n"/>
      <c r="C239" s="47" t="n"/>
      <c r="D239" s="48" t="n"/>
      <c r="E239" s="48" t="n"/>
      <c r="F239" s="48" t="n"/>
      <c r="G239" s="47" t="n"/>
      <c r="H239" s="50" t="n"/>
      <c r="I239" s="50" t="n"/>
      <c r="J239" s="50" t="n"/>
      <c r="K239" s="50" t="n"/>
      <c r="L239" s="49" t="n"/>
      <c r="M239" s="49" t="n"/>
      <c r="N239" s="49" t="n"/>
      <c r="O239" s="49" t="n"/>
      <c r="P239" s="50" t="n"/>
      <c r="Q239" s="49" t="n"/>
      <c r="R239" s="56">
        <f>IF(Q239="","",IFERROR(VLOOKUP(Q239,Lookups!$A$2:$B$8,2,FALSE),""))</f>
        <v/>
      </c>
      <c r="S239" s="53">
        <f>IF(B239="","",B239&amp;"|"&amp;TEXT(C239,"00"))</f>
        <v/>
      </c>
      <c r="T239" s="53">
        <f>IF(B239="","",B239&amp;"|"&amp;TEXT(C239-1,"00"))</f>
        <v/>
      </c>
      <c r="U239" s="53">
        <f>IFERROR(INDEX($Q:$Q,MATCH(T239,$S:$S,0)),"")</f>
        <v/>
      </c>
      <c r="V239" s="56">
        <f>IFERROR(INDEX($R:$R,MATCH(T239,$S:$S,0)),"")</f>
        <v/>
      </c>
      <c r="W239" s="56">
        <f>IF(U239="","",IF(Q239&lt;&gt;U239,1,0))</f>
        <v/>
      </c>
      <c r="X239" s="56">
        <f>IF(V239="","",IF(R239&lt;V239,1,0))</f>
        <v/>
      </c>
      <c r="Y239" s="56">
        <f>IF(V239="","",IF(R239&gt;V239,1,0))</f>
        <v/>
      </c>
      <c r="Z239" s="56">
        <f>IF(Q239="Pass",1,0)</f>
        <v/>
      </c>
      <c r="AA239" s="50" t="n"/>
      <c r="AB239" s="50" t="n"/>
      <c r="AC239" s="49" t="n"/>
      <c r="AD239" s="50" t="n"/>
      <c r="AE239" s="49" t="n"/>
    </row>
    <row r="240" ht="15.75" customHeight="1" s="40">
      <c r="A240" s="48" t="n"/>
      <c r="B240" s="48" t="n"/>
      <c r="C240" s="47" t="n"/>
      <c r="D240" s="48" t="n"/>
      <c r="E240" s="48" t="n"/>
      <c r="F240" s="48" t="n"/>
      <c r="G240" s="47" t="n"/>
      <c r="H240" s="50" t="n"/>
      <c r="I240" s="50" t="n"/>
      <c r="J240" s="50" t="n"/>
      <c r="K240" s="50" t="n"/>
      <c r="L240" s="49" t="n"/>
      <c r="M240" s="49" t="n"/>
      <c r="N240" s="49" t="n"/>
      <c r="O240" s="49" t="n"/>
      <c r="P240" s="50" t="n"/>
      <c r="Q240" s="49" t="n"/>
      <c r="R240" s="56">
        <f>IF(Q240="","",IFERROR(VLOOKUP(Q240,Lookups!$A$2:$B$8,2,FALSE),""))</f>
        <v/>
      </c>
      <c r="S240" s="53">
        <f>IF(B240="","",B240&amp;"|"&amp;TEXT(C240,"00"))</f>
        <v/>
      </c>
      <c r="T240" s="53">
        <f>IF(B240="","",B240&amp;"|"&amp;TEXT(C240-1,"00"))</f>
        <v/>
      </c>
      <c r="U240" s="53">
        <f>IFERROR(INDEX($Q:$Q,MATCH(T240,$S:$S,0)),"")</f>
        <v/>
      </c>
      <c r="V240" s="56">
        <f>IFERROR(INDEX($R:$R,MATCH(T240,$S:$S,0)),"")</f>
        <v/>
      </c>
      <c r="W240" s="56">
        <f>IF(U240="","",IF(Q240&lt;&gt;U240,1,0))</f>
        <v/>
      </c>
      <c r="X240" s="56">
        <f>IF(V240="","",IF(R240&lt;V240,1,0))</f>
        <v/>
      </c>
      <c r="Y240" s="56">
        <f>IF(V240="","",IF(R240&gt;V240,1,0))</f>
        <v/>
      </c>
      <c r="Z240" s="56">
        <f>IF(Q240="Pass",1,0)</f>
        <v/>
      </c>
      <c r="AA240" s="50" t="n"/>
      <c r="AB240" s="50" t="n"/>
      <c r="AC240" s="49" t="n"/>
      <c r="AD240" s="50" t="n"/>
      <c r="AE240" s="49" t="n"/>
    </row>
    <row r="241" ht="15.75" customHeight="1" s="40">
      <c r="A241" s="48" t="n"/>
      <c r="B241" s="48" t="n"/>
      <c r="C241" s="47" t="n"/>
      <c r="D241" s="48" t="n"/>
      <c r="E241" s="48" t="n"/>
      <c r="F241" s="48" t="n"/>
      <c r="G241" s="47" t="n"/>
      <c r="H241" s="50" t="n"/>
      <c r="I241" s="50" t="n"/>
      <c r="J241" s="50" t="n"/>
      <c r="K241" s="50" t="n"/>
      <c r="L241" s="49" t="n"/>
      <c r="M241" s="49" t="n"/>
      <c r="N241" s="49" t="n"/>
      <c r="O241" s="49" t="n"/>
      <c r="P241" s="50" t="n"/>
      <c r="Q241" s="49" t="n"/>
      <c r="R241" s="56">
        <f>IF(Q241="","",IFERROR(VLOOKUP(Q241,Lookups!$A$2:$B$8,2,FALSE),""))</f>
        <v/>
      </c>
      <c r="S241" s="53">
        <f>IF(B241="","",B241&amp;"|"&amp;TEXT(C241,"00"))</f>
        <v/>
      </c>
      <c r="T241" s="53">
        <f>IF(B241="","",B241&amp;"|"&amp;TEXT(C241-1,"00"))</f>
        <v/>
      </c>
      <c r="U241" s="53">
        <f>IFERROR(INDEX($Q:$Q,MATCH(T241,$S:$S,0)),"")</f>
        <v/>
      </c>
      <c r="V241" s="56">
        <f>IFERROR(INDEX($R:$R,MATCH(T241,$S:$S,0)),"")</f>
        <v/>
      </c>
      <c r="W241" s="56">
        <f>IF(U241="","",IF(Q241&lt;&gt;U241,1,0))</f>
        <v/>
      </c>
      <c r="X241" s="56">
        <f>IF(V241="","",IF(R241&lt;V241,1,0))</f>
        <v/>
      </c>
      <c r="Y241" s="56">
        <f>IF(V241="","",IF(R241&gt;V241,1,0))</f>
        <v/>
      </c>
      <c r="Z241" s="56">
        <f>IF(Q241="Pass",1,0)</f>
        <v/>
      </c>
      <c r="AA241" s="50" t="n"/>
      <c r="AB241" s="50" t="n"/>
      <c r="AC241" s="49" t="n"/>
      <c r="AD241" s="50" t="n"/>
      <c r="AE241" s="49" t="n"/>
    </row>
    <row r="242" ht="15.75" customHeight="1" s="40">
      <c r="A242" s="48" t="n"/>
      <c r="B242" s="48" t="n"/>
      <c r="C242" s="47" t="n"/>
      <c r="D242" s="48" t="n"/>
      <c r="E242" s="48" t="n"/>
      <c r="F242" s="48" t="n"/>
      <c r="G242" s="47" t="n"/>
      <c r="H242" s="50" t="n"/>
      <c r="I242" s="50" t="n"/>
      <c r="J242" s="50" t="n"/>
      <c r="K242" s="50" t="n"/>
      <c r="L242" s="49" t="n"/>
      <c r="M242" s="49" t="n"/>
      <c r="N242" s="49" t="n"/>
      <c r="O242" s="49" t="n"/>
      <c r="P242" s="50" t="n"/>
      <c r="Q242" s="49" t="n"/>
      <c r="R242" s="56">
        <f>IF(Q242="","",IFERROR(VLOOKUP(Q242,Lookups!$A$2:$B$8,2,FALSE),""))</f>
        <v/>
      </c>
      <c r="S242" s="53">
        <f>IF(B242="","",B242&amp;"|"&amp;TEXT(C242,"00"))</f>
        <v/>
      </c>
      <c r="T242" s="53">
        <f>IF(B242="","",B242&amp;"|"&amp;TEXT(C242-1,"00"))</f>
        <v/>
      </c>
      <c r="U242" s="53">
        <f>IFERROR(INDEX($Q:$Q,MATCH(T242,$S:$S,0)),"")</f>
        <v/>
      </c>
      <c r="V242" s="56">
        <f>IFERROR(INDEX($R:$R,MATCH(T242,$S:$S,0)),"")</f>
        <v/>
      </c>
      <c r="W242" s="56">
        <f>IF(U242="","",IF(Q242&lt;&gt;U242,1,0))</f>
        <v/>
      </c>
      <c r="X242" s="56">
        <f>IF(V242="","",IF(R242&lt;V242,1,0))</f>
        <v/>
      </c>
      <c r="Y242" s="56">
        <f>IF(V242="","",IF(R242&gt;V242,1,0))</f>
        <v/>
      </c>
      <c r="Z242" s="56">
        <f>IF(Q242="Pass",1,0)</f>
        <v/>
      </c>
      <c r="AA242" s="50" t="n"/>
      <c r="AB242" s="50" t="n"/>
      <c r="AC242" s="49" t="n"/>
      <c r="AD242" s="50" t="n"/>
      <c r="AE242" s="49" t="n"/>
    </row>
    <row r="243" ht="15.75" customHeight="1" s="40">
      <c r="A243" s="48" t="n"/>
      <c r="B243" s="48" t="n"/>
      <c r="C243" s="47" t="n"/>
      <c r="D243" s="48" t="n"/>
      <c r="E243" s="48" t="n"/>
      <c r="F243" s="48" t="n"/>
      <c r="G243" s="47" t="n"/>
      <c r="H243" s="50" t="n"/>
      <c r="I243" s="50" t="n"/>
      <c r="J243" s="50" t="n"/>
      <c r="K243" s="50" t="n"/>
      <c r="L243" s="49" t="n"/>
      <c r="M243" s="49" t="n"/>
      <c r="N243" s="49" t="n"/>
      <c r="O243" s="49" t="n"/>
      <c r="P243" s="50" t="n"/>
      <c r="Q243" s="49" t="n"/>
      <c r="R243" s="56">
        <f>IF(Q243="","",IFERROR(VLOOKUP(Q243,Lookups!$A$2:$B$8,2,FALSE),""))</f>
        <v/>
      </c>
      <c r="S243" s="53">
        <f>IF(B243="","",B243&amp;"|"&amp;TEXT(C243,"00"))</f>
        <v/>
      </c>
      <c r="T243" s="53">
        <f>IF(B243="","",B243&amp;"|"&amp;TEXT(C243-1,"00"))</f>
        <v/>
      </c>
      <c r="U243" s="53">
        <f>IFERROR(INDEX($Q:$Q,MATCH(T243,$S:$S,0)),"")</f>
        <v/>
      </c>
      <c r="V243" s="56">
        <f>IFERROR(INDEX($R:$R,MATCH(T243,$S:$S,0)),"")</f>
        <v/>
      </c>
      <c r="W243" s="56">
        <f>IF(U243="","",IF(Q243&lt;&gt;U243,1,0))</f>
        <v/>
      </c>
      <c r="X243" s="56">
        <f>IF(V243="","",IF(R243&lt;V243,1,0))</f>
        <v/>
      </c>
      <c r="Y243" s="56">
        <f>IF(V243="","",IF(R243&gt;V243,1,0))</f>
        <v/>
      </c>
      <c r="Z243" s="56">
        <f>IF(Q243="Pass",1,0)</f>
        <v/>
      </c>
      <c r="AA243" s="50" t="n"/>
      <c r="AB243" s="50" t="n"/>
      <c r="AC243" s="49" t="n"/>
      <c r="AD243" s="50" t="n"/>
      <c r="AE243" s="49" t="n"/>
    </row>
    <row r="244" ht="15.75" customHeight="1" s="40">
      <c r="A244" s="48" t="n"/>
      <c r="B244" s="48" t="n"/>
      <c r="C244" s="47" t="n"/>
      <c r="D244" s="48" t="n"/>
      <c r="E244" s="48" t="n"/>
      <c r="F244" s="48" t="n"/>
      <c r="G244" s="47" t="n"/>
      <c r="H244" s="50" t="n"/>
      <c r="I244" s="50" t="n"/>
      <c r="J244" s="50" t="n"/>
      <c r="K244" s="50" t="n"/>
      <c r="L244" s="49" t="n"/>
      <c r="M244" s="49" t="n"/>
      <c r="N244" s="49" t="n"/>
      <c r="O244" s="49" t="n"/>
      <c r="P244" s="50" t="n"/>
      <c r="Q244" s="49" t="n"/>
      <c r="R244" s="56">
        <f>IF(Q244="","",IFERROR(VLOOKUP(Q244,Lookups!$A$2:$B$8,2,FALSE),""))</f>
        <v/>
      </c>
      <c r="S244" s="53">
        <f>IF(B244="","",B244&amp;"|"&amp;TEXT(C244,"00"))</f>
        <v/>
      </c>
      <c r="T244" s="53">
        <f>IF(B244="","",B244&amp;"|"&amp;TEXT(C244-1,"00"))</f>
        <v/>
      </c>
      <c r="U244" s="53">
        <f>IFERROR(INDEX($Q:$Q,MATCH(T244,$S:$S,0)),"")</f>
        <v/>
      </c>
      <c r="V244" s="56">
        <f>IFERROR(INDEX($R:$R,MATCH(T244,$S:$S,0)),"")</f>
        <v/>
      </c>
      <c r="W244" s="56">
        <f>IF(U244="","",IF(Q244&lt;&gt;U244,1,0))</f>
        <v/>
      </c>
      <c r="X244" s="56">
        <f>IF(V244="","",IF(R244&lt;V244,1,0))</f>
        <v/>
      </c>
      <c r="Y244" s="56">
        <f>IF(V244="","",IF(R244&gt;V244,1,0))</f>
        <v/>
      </c>
      <c r="Z244" s="56">
        <f>IF(Q244="Pass",1,0)</f>
        <v/>
      </c>
      <c r="AA244" s="50" t="n"/>
      <c r="AB244" s="50" t="n"/>
      <c r="AC244" s="49" t="n"/>
      <c r="AD244" s="50" t="n"/>
      <c r="AE244" s="49" t="n"/>
    </row>
    <row r="245" ht="15.75" customHeight="1" s="40">
      <c r="A245" s="48" t="n"/>
      <c r="B245" s="48" t="n"/>
      <c r="C245" s="47" t="n"/>
      <c r="D245" s="48" t="n"/>
      <c r="E245" s="48" t="n"/>
      <c r="F245" s="48" t="n"/>
      <c r="G245" s="47" t="n"/>
      <c r="H245" s="50" t="n"/>
      <c r="I245" s="50" t="n"/>
      <c r="J245" s="50" t="n"/>
      <c r="K245" s="50" t="n"/>
      <c r="L245" s="49" t="n"/>
      <c r="M245" s="49" t="n"/>
      <c r="N245" s="49" t="n"/>
      <c r="O245" s="49" t="n"/>
      <c r="P245" s="50" t="n"/>
      <c r="Q245" s="49" t="n"/>
      <c r="R245" s="56">
        <f>IF(Q245="","",IFERROR(VLOOKUP(Q245,Lookups!$A$2:$B$8,2,FALSE),""))</f>
        <v/>
      </c>
      <c r="S245" s="53">
        <f>IF(B245="","",B245&amp;"|"&amp;TEXT(C245,"00"))</f>
        <v/>
      </c>
      <c r="T245" s="53">
        <f>IF(B245="","",B245&amp;"|"&amp;TEXT(C245-1,"00"))</f>
        <v/>
      </c>
      <c r="U245" s="53">
        <f>IFERROR(INDEX($Q:$Q,MATCH(T245,$S:$S,0)),"")</f>
        <v/>
      </c>
      <c r="V245" s="56">
        <f>IFERROR(INDEX($R:$R,MATCH(T245,$S:$S,0)),"")</f>
        <v/>
      </c>
      <c r="W245" s="56">
        <f>IF(U245="","",IF(Q245&lt;&gt;U245,1,0))</f>
        <v/>
      </c>
      <c r="X245" s="56">
        <f>IF(V245="","",IF(R245&lt;V245,1,0))</f>
        <v/>
      </c>
      <c r="Y245" s="56">
        <f>IF(V245="","",IF(R245&gt;V245,1,0))</f>
        <v/>
      </c>
      <c r="Z245" s="56">
        <f>IF(Q245="Pass",1,0)</f>
        <v/>
      </c>
      <c r="AA245" s="50" t="n"/>
      <c r="AB245" s="50" t="n"/>
      <c r="AC245" s="49" t="n"/>
      <c r="AD245" s="50" t="n"/>
      <c r="AE245" s="49" t="n"/>
    </row>
    <row r="246" ht="15.75" customHeight="1" s="40">
      <c r="A246" s="48" t="n"/>
      <c r="B246" s="48" t="n"/>
      <c r="C246" s="47" t="n"/>
      <c r="D246" s="48" t="n"/>
      <c r="E246" s="48" t="n"/>
      <c r="F246" s="48" t="n"/>
      <c r="G246" s="47" t="n"/>
      <c r="H246" s="50" t="n"/>
      <c r="I246" s="50" t="n"/>
      <c r="J246" s="50" t="n"/>
      <c r="K246" s="50" t="n"/>
      <c r="L246" s="49" t="n"/>
      <c r="M246" s="49" t="n"/>
      <c r="N246" s="49" t="n"/>
      <c r="O246" s="49" t="n"/>
      <c r="P246" s="50" t="n"/>
      <c r="Q246" s="49" t="n"/>
      <c r="R246" s="56">
        <f>IF(Q246="","",IFERROR(VLOOKUP(Q246,Lookups!$A$2:$B$8,2,FALSE),""))</f>
        <v/>
      </c>
      <c r="S246" s="53">
        <f>IF(B246="","",B246&amp;"|"&amp;TEXT(C246,"00"))</f>
        <v/>
      </c>
      <c r="T246" s="53">
        <f>IF(B246="","",B246&amp;"|"&amp;TEXT(C246-1,"00"))</f>
        <v/>
      </c>
      <c r="U246" s="53">
        <f>IFERROR(INDEX($Q:$Q,MATCH(T246,$S:$S,0)),"")</f>
        <v/>
      </c>
      <c r="V246" s="56">
        <f>IFERROR(INDEX($R:$R,MATCH(T246,$S:$S,0)),"")</f>
        <v/>
      </c>
      <c r="W246" s="56">
        <f>IF(U246="","",IF(Q246&lt;&gt;U246,1,0))</f>
        <v/>
      </c>
      <c r="X246" s="56">
        <f>IF(V246="","",IF(R246&lt;V246,1,0))</f>
        <v/>
      </c>
      <c r="Y246" s="56">
        <f>IF(V246="","",IF(R246&gt;V246,1,0))</f>
        <v/>
      </c>
      <c r="Z246" s="56">
        <f>IF(Q246="Pass",1,0)</f>
        <v/>
      </c>
      <c r="AA246" s="50" t="n"/>
      <c r="AB246" s="50" t="n"/>
      <c r="AC246" s="49" t="n"/>
      <c r="AD246" s="50" t="n"/>
      <c r="AE246" s="49" t="n"/>
    </row>
    <row r="247" ht="15.75" customHeight="1" s="40">
      <c r="A247" s="48" t="n"/>
      <c r="B247" s="48" t="n"/>
      <c r="C247" s="47" t="n"/>
      <c r="D247" s="48" t="n"/>
      <c r="E247" s="48" t="n"/>
      <c r="F247" s="48" t="n"/>
      <c r="G247" s="47" t="n"/>
      <c r="H247" s="50" t="n"/>
      <c r="I247" s="50" t="n"/>
      <c r="J247" s="50" t="n"/>
      <c r="K247" s="50" t="n"/>
      <c r="L247" s="49" t="n"/>
      <c r="M247" s="49" t="n"/>
      <c r="N247" s="49" t="n"/>
      <c r="O247" s="49" t="n"/>
      <c r="P247" s="50" t="n"/>
      <c r="Q247" s="49" t="n"/>
      <c r="R247" s="56">
        <f>IF(Q247="","",IFERROR(VLOOKUP(Q247,Lookups!$A$2:$B$8,2,FALSE),""))</f>
        <v/>
      </c>
      <c r="S247" s="53">
        <f>IF(B247="","",B247&amp;"|"&amp;TEXT(C247,"00"))</f>
        <v/>
      </c>
      <c r="T247" s="53">
        <f>IF(B247="","",B247&amp;"|"&amp;TEXT(C247-1,"00"))</f>
        <v/>
      </c>
      <c r="U247" s="53">
        <f>IFERROR(INDEX($Q:$Q,MATCH(T247,$S:$S,0)),"")</f>
        <v/>
      </c>
      <c r="V247" s="56">
        <f>IFERROR(INDEX($R:$R,MATCH(T247,$S:$S,0)),"")</f>
        <v/>
      </c>
      <c r="W247" s="56">
        <f>IF(U247="","",IF(Q247&lt;&gt;U247,1,0))</f>
        <v/>
      </c>
      <c r="X247" s="56">
        <f>IF(V247="","",IF(R247&lt;V247,1,0))</f>
        <v/>
      </c>
      <c r="Y247" s="56">
        <f>IF(V247="","",IF(R247&gt;V247,1,0))</f>
        <v/>
      </c>
      <c r="Z247" s="56">
        <f>IF(Q247="Pass",1,0)</f>
        <v/>
      </c>
      <c r="AA247" s="50" t="n"/>
      <c r="AB247" s="50" t="n"/>
      <c r="AC247" s="49" t="n"/>
      <c r="AD247" s="50" t="n"/>
      <c r="AE247" s="49" t="n"/>
    </row>
    <row r="248" ht="15.75" customHeight="1" s="40">
      <c r="A248" s="48" t="n"/>
      <c r="B248" s="48" t="n"/>
      <c r="C248" s="47" t="n"/>
      <c r="D248" s="48" t="n"/>
      <c r="E248" s="48" t="n"/>
      <c r="F248" s="48" t="n"/>
      <c r="G248" s="47" t="n"/>
      <c r="H248" s="50" t="n"/>
      <c r="I248" s="50" t="n"/>
      <c r="J248" s="50" t="n"/>
      <c r="K248" s="50" t="n"/>
      <c r="L248" s="49" t="n"/>
      <c r="M248" s="49" t="n"/>
      <c r="N248" s="49" t="n"/>
      <c r="O248" s="49" t="n"/>
      <c r="P248" s="50" t="n"/>
      <c r="Q248" s="49" t="n"/>
      <c r="R248" s="56">
        <f>IF(Q248="","",IFERROR(VLOOKUP(Q248,Lookups!$A$2:$B$8,2,FALSE),""))</f>
        <v/>
      </c>
      <c r="S248" s="53">
        <f>IF(B248="","",B248&amp;"|"&amp;TEXT(C248,"00"))</f>
        <v/>
      </c>
      <c r="T248" s="53">
        <f>IF(B248="","",B248&amp;"|"&amp;TEXT(C248-1,"00"))</f>
        <v/>
      </c>
      <c r="U248" s="53">
        <f>IFERROR(INDEX($Q:$Q,MATCH(T248,$S:$S,0)),"")</f>
        <v/>
      </c>
      <c r="V248" s="56">
        <f>IFERROR(INDEX($R:$R,MATCH(T248,$S:$S,0)),"")</f>
        <v/>
      </c>
      <c r="W248" s="56">
        <f>IF(U248="","",IF(Q248&lt;&gt;U248,1,0))</f>
        <v/>
      </c>
      <c r="X248" s="56">
        <f>IF(V248="","",IF(R248&lt;V248,1,0))</f>
        <v/>
      </c>
      <c r="Y248" s="56">
        <f>IF(V248="","",IF(R248&gt;V248,1,0))</f>
        <v/>
      </c>
      <c r="Z248" s="56">
        <f>IF(Q248="Pass",1,0)</f>
        <v/>
      </c>
      <c r="AA248" s="50" t="n"/>
      <c r="AB248" s="50" t="n"/>
      <c r="AC248" s="49" t="n"/>
      <c r="AD248" s="50" t="n"/>
      <c r="AE248" s="49" t="n"/>
    </row>
    <row r="249" ht="15.75" customHeight="1" s="40">
      <c r="A249" s="48" t="n"/>
      <c r="B249" s="48" t="n"/>
      <c r="C249" s="47" t="n"/>
      <c r="D249" s="48" t="n"/>
      <c r="E249" s="48" t="n"/>
      <c r="F249" s="48" t="n"/>
      <c r="G249" s="47" t="n"/>
      <c r="H249" s="50" t="n"/>
      <c r="I249" s="50" t="n"/>
      <c r="J249" s="50" t="n"/>
      <c r="K249" s="50" t="n"/>
      <c r="L249" s="49" t="n"/>
      <c r="M249" s="49" t="n"/>
      <c r="N249" s="49" t="n"/>
      <c r="O249" s="49" t="n"/>
      <c r="P249" s="50" t="n"/>
      <c r="Q249" s="49" t="n"/>
      <c r="R249" s="56">
        <f>IF(Q249="","",IFERROR(VLOOKUP(Q249,Lookups!$A$2:$B$8,2,FALSE),""))</f>
        <v/>
      </c>
      <c r="S249" s="53">
        <f>IF(B249="","",B249&amp;"|"&amp;TEXT(C249,"00"))</f>
        <v/>
      </c>
      <c r="T249" s="53">
        <f>IF(B249="","",B249&amp;"|"&amp;TEXT(C249-1,"00"))</f>
        <v/>
      </c>
      <c r="U249" s="53">
        <f>IFERROR(INDEX($Q:$Q,MATCH(T249,$S:$S,0)),"")</f>
        <v/>
      </c>
      <c r="V249" s="56">
        <f>IFERROR(INDEX($R:$R,MATCH(T249,$S:$S,0)),"")</f>
        <v/>
      </c>
      <c r="W249" s="56">
        <f>IF(U249="","",IF(Q249&lt;&gt;U249,1,0))</f>
        <v/>
      </c>
      <c r="X249" s="56">
        <f>IF(V249="","",IF(R249&lt;V249,1,0))</f>
        <v/>
      </c>
      <c r="Y249" s="56">
        <f>IF(V249="","",IF(R249&gt;V249,1,0))</f>
        <v/>
      </c>
      <c r="Z249" s="56">
        <f>IF(Q249="Pass",1,0)</f>
        <v/>
      </c>
      <c r="AA249" s="50" t="n"/>
      <c r="AB249" s="50" t="n"/>
      <c r="AC249" s="49" t="n"/>
      <c r="AD249" s="50" t="n"/>
      <c r="AE249" s="49" t="n"/>
    </row>
    <row r="250" ht="15.75" customHeight="1" s="40">
      <c r="A250" s="48" t="n"/>
      <c r="B250" s="48" t="n"/>
      <c r="C250" s="47" t="n"/>
      <c r="D250" s="48" t="n"/>
      <c r="E250" s="48" t="n"/>
      <c r="F250" s="48" t="n"/>
      <c r="G250" s="47" t="n"/>
      <c r="H250" s="50" t="n"/>
      <c r="I250" s="50" t="n"/>
      <c r="J250" s="50" t="n"/>
      <c r="K250" s="50" t="n"/>
      <c r="L250" s="49" t="n"/>
      <c r="M250" s="49" t="n"/>
      <c r="N250" s="49" t="n"/>
      <c r="O250" s="49" t="n"/>
      <c r="P250" s="50" t="n"/>
      <c r="Q250" s="49" t="n"/>
      <c r="R250" s="56">
        <f>IF(Q250="","",IFERROR(VLOOKUP(Q250,Lookups!$A$2:$B$8,2,FALSE),""))</f>
        <v/>
      </c>
      <c r="S250" s="53">
        <f>IF(B250="","",B250&amp;"|"&amp;TEXT(C250,"00"))</f>
        <v/>
      </c>
      <c r="T250" s="53">
        <f>IF(B250="","",B250&amp;"|"&amp;TEXT(C250-1,"00"))</f>
        <v/>
      </c>
      <c r="U250" s="53">
        <f>IFERROR(INDEX($Q:$Q,MATCH(T250,$S:$S,0)),"")</f>
        <v/>
      </c>
      <c r="V250" s="56">
        <f>IFERROR(INDEX($R:$R,MATCH(T250,$S:$S,0)),"")</f>
        <v/>
      </c>
      <c r="W250" s="56">
        <f>IF(U250="","",IF(Q250&lt;&gt;U250,1,0))</f>
        <v/>
      </c>
      <c r="X250" s="56">
        <f>IF(V250="","",IF(R250&lt;V250,1,0))</f>
        <v/>
      </c>
      <c r="Y250" s="56">
        <f>IF(V250="","",IF(R250&gt;V250,1,0))</f>
        <v/>
      </c>
      <c r="Z250" s="56">
        <f>IF(Q250="Pass",1,0)</f>
        <v/>
      </c>
      <c r="AA250" s="50" t="n"/>
      <c r="AB250" s="50" t="n"/>
      <c r="AC250" s="49" t="n"/>
      <c r="AD250" s="50" t="n"/>
      <c r="AE250" s="49" t="n"/>
    </row>
    <row r="251" ht="15.75" customHeight="1" s="40">
      <c r="A251" s="48" t="n"/>
      <c r="B251" s="48" t="n"/>
      <c r="C251" s="47" t="n"/>
      <c r="D251" s="48" t="n"/>
      <c r="E251" s="48" t="n"/>
      <c r="F251" s="48" t="n"/>
      <c r="G251" s="47" t="n"/>
      <c r="H251" s="50" t="n"/>
      <c r="I251" s="50" t="n"/>
      <c r="J251" s="50" t="n"/>
      <c r="K251" s="50" t="n"/>
      <c r="L251" s="49" t="n"/>
      <c r="M251" s="49" t="n"/>
      <c r="N251" s="49" t="n"/>
      <c r="O251" s="49" t="n"/>
      <c r="P251" s="50" t="n"/>
      <c r="Q251" s="49" t="n"/>
      <c r="R251" s="56">
        <f>IF(Q251="","",IFERROR(VLOOKUP(Q251,Lookups!$A$2:$B$8,2,FALSE),""))</f>
        <v/>
      </c>
      <c r="S251" s="53">
        <f>IF(B251="","",B251&amp;"|"&amp;TEXT(C251,"00"))</f>
        <v/>
      </c>
      <c r="T251" s="53">
        <f>IF(B251="","",B251&amp;"|"&amp;TEXT(C251-1,"00"))</f>
        <v/>
      </c>
      <c r="U251" s="53">
        <f>IFERROR(INDEX($Q:$Q,MATCH(T251,$S:$S,0)),"")</f>
        <v/>
      </c>
      <c r="V251" s="56">
        <f>IFERROR(INDEX($R:$R,MATCH(T251,$S:$S,0)),"")</f>
        <v/>
      </c>
      <c r="W251" s="56">
        <f>IF(U251="","",IF(Q251&lt;&gt;U251,1,0))</f>
        <v/>
      </c>
      <c r="X251" s="56">
        <f>IF(V251="","",IF(R251&lt;V251,1,0))</f>
        <v/>
      </c>
      <c r="Y251" s="56">
        <f>IF(V251="","",IF(R251&gt;V251,1,0))</f>
        <v/>
      </c>
      <c r="Z251" s="56">
        <f>IF(Q251="Pass",1,0)</f>
        <v/>
      </c>
      <c r="AA251" s="50" t="n"/>
      <c r="AB251" s="50" t="n"/>
      <c r="AC251" s="49" t="n"/>
      <c r="AD251" s="50" t="n"/>
      <c r="AE251" s="49" t="n"/>
    </row>
    <row r="252" ht="15.75" customHeight="1" s="40">
      <c r="A252" s="48" t="n"/>
      <c r="B252" s="48" t="n"/>
      <c r="C252" s="47" t="n"/>
      <c r="D252" s="48" t="n"/>
      <c r="E252" s="48" t="n"/>
      <c r="F252" s="48" t="n"/>
      <c r="G252" s="47" t="n"/>
      <c r="H252" s="50" t="n"/>
      <c r="I252" s="50" t="n"/>
      <c r="J252" s="50" t="n"/>
      <c r="K252" s="50" t="n"/>
      <c r="L252" s="49" t="n"/>
      <c r="M252" s="49" t="n"/>
      <c r="N252" s="49" t="n"/>
      <c r="O252" s="49" t="n"/>
      <c r="P252" s="50" t="n"/>
      <c r="Q252" s="49" t="n"/>
      <c r="R252" s="56">
        <f>IF(Q252="","",IFERROR(VLOOKUP(Q252,Lookups!$A$2:$B$8,2,FALSE),""))</f>
        <v/>
      </c>
      <c r="S252" s="53">
        <f>IF(B252="","",B252&amp;"|"&amp;TEXT(C252,"00"))</f>
        <v/>
      </c>
      <c r="T252" s="53">
        <f>IF(B252="","",B252&amp;"|"&amp;TEXT(C252-1,"00"))</f>
        <v/>
      </c>
      <c r="U252" s="53">
        <f>IFERROR(INDEX($Q:$Q,MATCH(T252,$S:$S,0)),"")</f>
        <v/>
      </c>
      <c r="V252" s="56">
        <f>IFERROR(INDEX($R:$R,MATCH(T252,$S:$S,0)),"")</f>
        <v/>
      </c>
      <c r="W252" s="56">
        <f>IF(U252="","",IF(Q252&lt;&gt;U252,1,0))</f>
        <v/>
      </c>
      <c r="X252" s="56">
        <f>IF(V252="","",IF(R252&lt;V252,1,0))</f>
        <v/>
      </c>
      <c r="Y252" s="56">
        <f>IF(V252="","",IF(R252&gt;V252,1,0))</f>
        <v/>
      </c>
      <c r="Z252" s="56">
        <f>IF(Q252="Pass",1,0)</f>
        <v/>
      </c>
      <c r="AA252" s="50" t="n"/>
      <c r="AB252" s="50" t="n"/>
      <c r="AC252" s="49" t="n"/>
      <c r="AD252" s="50" t="n"/>
      <c r="AE252" s="49" t="n"/>
    </row>
    <row r="253" ht="15.75" customHeight="1" s="40">
      <c r="A253" s="48" t="n"/>
      <c r="B253" s="48" t="n"/>
      <c r="C253" s="47" t="n"/>
      <c r="D253" s="48" t="n"/>
      <c r="E253" s="48" t="n"/>
      <c r="F253" s="48" t="n"/>
      <c r="G253" s="47" t="n"/>
      <c r="H253" s="50" t="n"/>
      <c r="I253" s="50" t="n"/>
      <c r="J253" s="50" t="n"/>
      <c r="K253" s="50" t="n"/>
      <c r="L253" s="49" t="n"/>
      <c r="M253" s="49" t="n"/>
      <c r="N253" s="49" t="n"/>
      <c r="O253" s="49" t="n"/>
      <c r="P253" s="50" t="n"/>
      <c r="Q253" s="49" t="n"/>
      <c r="R253" s="56">
        <f>IF(Q253="","",IFERROR(VLOOKUP(Q253,Lookups!$A$2:$B$8,2,FALSE),""))</f>
        <v/>
      </c>
      <c r="S253" s="53">
        <f>IF(B253="","",B253&amp;"|"&amp;TEXT(C253,"00"))</f>
        <v/>
      </c>
      <c r="T253" s="53">
        <f>IF(B253="","",B253&amp;"|"&amp;TEXT(C253-1,"00"))</f>
        <v/>
      </c>
      <c r="U253" s="53">
        <f>IFERROR(INDEX($Q:$Q,MATCH(T253,$S:$S,0)),"")</f>
        <v/>
      </c>
      <c r="V253" s="56">
        <f>IFERROR(INDEX($R:$R,MATCH(T253,$S:$S,0)),"")</f>
        <v/>
      </c>
      <c r="W253" s="56">
        <f>IF(U253="","",IF(Q253&lt;&gt;U253,1,0))</f>
        <v/>
      </c>
      <c r="X253" s="56">
        <f>IF(V253="","",IF(R253&lt;V253,1,0))</f>
        <v/>
      </c>
      <c r="Y253" s="56">
        <f>IF(V253="","",IF(R253&gt;V253,1,0))</f>
        <v/>
      </c>
      <c r="Z253" s="56">
        <f>IF(Q253="Pass",1,0)</f>
        <v/>
      </c>
      <c r="AA253" s="50" t="n"/>
      <c r="AB253" s="50" t="n"/>
      <c r="AC253" s="49" t="n"/>
      <c r="AD253" s="50" t="n"/>
      <c r="AE253" s="49" t="n"/>
    </row>
    <row r="254" ht="15.75" customHeight="1" s="40">
      <c r="A254" s="48" t="n"/>
      <c r="B254" s="48" t="n"/>
      <c r="C254" s="47" t="n"/>
      <c r="D254" s="48" t="n"/>
      <c r="E254" s="48" t="n"/>
      <c r="F254" s="48" t="n"/>
      <c r="G254" s="47" t="n"/>
      <c r="H254" s="50" t="n"/>
      <c r="I254" s="50" t="n"/>
      <c r="J254" s="50" t="n"/>
      <c r="K254" s="50" t="n"/>
      <c r="L254" s="49" t="n"/>
      <c r="M254" s="49" t="n"/>
      <c r="N254" s="49" t="n"/>
      <c r="O254" s="49" t="n"/>
      <c r="P254" s="50" t="n"/>
      <c r="Q254" s="49" t="n"/>
      <c r="R254" s="56">
        <f>IF(Q254="","",IFERROR(VLOOKUP(Q254,Lookups!$A$2:$B$8,2,FALSE),""))</f>
        <v/>
      </c>
      <c r="S254" s="53">
        <f>IF(B254="","",B254&amp;"|"&amp;TEXT(C254,"00"))</f>
        <v/>
      </c>
      <c r="T254" s="53">
        <f>IF(B254="","",B254&amp;"|"&amp;TEXT(C254-1,"00"))</f>
        <v/>
      </c>
      <c r="U254" s="53">
        <f>IFERROR(INDEX($Q:$Q,MATCH(T254,$S:$S,0)),"")</f>
        <v/>
      </c>
      <c r="V254" s="56">
        <f>IFERROR(INDEX($R:$R,MATCH(T254,$S:$S,0)),"")</f>
        <v/>
      </c>
      <c r="W254" s="56">
        <f>IF(U254="","",IF(Q254&lt;&gt;U254,1,0))</f>
        <v/>
      </c>
      <c r="X254" s="56">
        <f>IF(V254="","",IF(R254&lt;V254,1,0))</f>
        <v/>
      </c>
      <c r="Y254" s="56">
        <f>IF(V254="","",IF(R254&gt;V254,1,0))</f>
        <v/>
      </c>
      <c r="Z254" s="56">
        <f>IF(Q254="Pass",1,0)</f>
        <v/>
      </c>
      <c r="AA254" s="50" t="n"/>
      <c r="AB254" s="50" t="n"/>
      <c r="AC254" s="49" t="n"/>
      <c r="AD254" s="50" t="n"/>
      <c r="AE254" s="49" t="n"/>
    </row>
    <row r="255" ht="15.75" customHeight="1" s="40">
      <c r="A255" s="48" t="n"/>
      <c r="B255" s="48" t="n"/>
      <c r="C255" s="47" t="n"/>
      <c r="D255" s="48" t="n"/>
      <c r="E255" s="48" t="n"/>
      <c r="F255" s="48" t="n"/>
      <c r="G255" s="47" t="n"/>
      <c r="H255" s="50" t="n"/>
      <c r="I255" s="50" t="n"/>
      <c r="J255" s="50" t="n"/>
      <c r="K255" s="50" t="n"/>
      <c r="L255" s="49" t="n"/>
      <c r="M255" s="49" t="n"/>
      <c r="N255" s="49" t="n"/>
      <c r="O255" s="49" t="n"/>
      <c r="P255" s="50" t="n"/>
      <c r="Q255" s="49" t="n"/>
      <c r="R255" s="56">
        <f>IF(Q255="","",IFERROR(VLOOKUP(Q255,Lookups!$A$2:$B$8,2,FALSE),""))</f>
        <v/>
      </c>
      <c r="S255" s="53">
        <f>IF(B255="","",B255&amp;"|"&amp;TEXT(C255,"00"))</f>
        <v/>
      </c>
      <c r="T255" s="53">
        <f>IF(B255="","",B255&amp;"|"&amp;TEXT(C255-1,"00"))</f>
        <v/>
      </c>
      <c r="U255" s="53">
        <f>IFERROR(INDEX($Q:$Q,MATCH(T255,$S:$S,0)),"")</f>
        <v/>
      </c>
      <c r="V255" s="56">
        <f>IFERROR(INDEX($R:$R,MATCH(T255,$S:$S,0)),"")</f>
        <v/>
      </c>
      <c r="W255" s="56">
        <f>IF(U255="","",IF(Q255&lt;&gt;U255,1,0))</f>
        <v/>
      </c>
      <c r="X255" s="56">
        <f>IF(V255="","",IF(R255&lt;V255,1,0))</f>
        <v/>
      </c>
      <c r="Y255" s="56">
        <f>IF(V255="","",IF(R255&gt;V255,1,0))</f>
        <v/>
      </c>
      <c r="Z255" s="56">
        <f>IF(Q255="Pass",1,0)</f>
        <v/>
      </c>
      <c r="AA255" s="50" t="n"/>
      <c r="AB255" s="50" t="n"/>
      <c r="AC255" s="49" t="n"/>
      <c r="AD255" s="50" t="n"/>
      <c r="AE255" s="49" t="n"/>
    </row>
    <row r="256" ht="15.75" customHeight="1" s="40">
      <c r="A256" s="48" t="n"/>
      <c r="B256" s="48" t="n"/>
      <c r="C256" s="47" t="n"/>
      <c r="D256" s="48" t="n"/>
      <c r="E256" s="48" t="n"/>
      <c r="F256" s="48" t="n"/>
      <c r="G256" s="47" t="n"/>
      <c r="H256" s="50" t="n"/>
      <c r="I256" s="50" t="n"/>
      <c r="J256" s="50" t="n"/>
      <c r="K256" s="50" t="n"/>
      <c r="L256" s="49" t="n"/>
      <c r="M256" s="49" t="n"/>
      <c r="N256" s="49" t="n"/>
      <c r="O256" s="49" t="n"/>
      <c r="P256" s="50" t="n"/>
      <c r="Q256" s="49" t="n"/>
      <c r="R256" s="56">
        <f>IF(Q256="","",IFERROR(VLOOKUP(Q256,Lookups!$A$2:$B$8,2,FALSE),""))</f>
        <v/>
      </c>
      <c r="S256" s="53">
        <f>IF(B256="","",B256&amp;"|"&amp;TEXT(C256,"00"))</f>
        <v/>
      </c>
      <c r="T256" s="53">
        <f>IF(B256="","",B256&amp;"|"&amp;TEXT(C256-1,"00"))</f>
        <v/>
      </c>
      <c r="U256" s="53">
        <f>IFERROR(INDEX($Q:$Q,MATCH(T256,$S:$S,0)),"")</f>
        <v/>
      </c>
      <c r="V256" s="56">
        <f>IFERROR(INDEX($R:$R,MATCH(T256,$S:$S,0)),"")</f>
        <v/>
      </c>
      <c r="W256" s="56">
        <f>IF(U256="","",IF(Q256&lt;&gt;U256,1,0))</f>
        <v/>
      </c>
      <c r="X256" s="56">
        <f>IF(V256="","",IF(R256&lt;V256,1,0))</f>
        <v/>
      </c>
      <c r="Y256" s="56">
        <f>IF(V256="","",IF(R256&gt;V256,1,0))</f>
        <v/>
      </c>
      <c r="Z256" s="56">
        <f>IF(Q256="Pass",1,0)</f>
        <v/>
      </c>
      <c r="AA256" s="50" t="n"/>
      <c r="AB256" s="50" t="n"/>
      <c r="AC256" s="49" t="n"/>
      <c r="AD256" s="50" t="n"/>
      <c r="AE256" s="49" t="n"/>
    </row>
    <row r="257" ht="15.75" customHeight="1" s="40">
      <c r="A257" s="48" t="n"/>
      <c r="B257" s="48" t="n"/>
      <c r="C257" s="47" t="n"/>
      <c r="D257" s="48" t="n"/>
      <c r="E257" s="48" t="n"/>
      <c r="F257" s="48" t="n"/>
      <c r="G257" s="47" t="n"/>
      <c r="H257" s="50" t="n"/>
      <c r="I257" s="50" t="n"/>
      <c r="J257" s="50" t="n"/>
      <c r="K257" s="50" t="n"/>
      <c r="L257" s="49" t="n"/>
      <c r="M257" s="49" t="n"/>
      <c r="N257" s="49" t="n"/>
      <c r="O257" s="49" t="n"/>
      <c r="P257" s="50" t="n"/>
      <c r="Q257" s="49" t="n"/>
      <c r="R257" s="56">
        <f>IF(Q257="","",IFERROR(VLOOKUP(Q257,Lookups!$A$2:$B$8,2,FALSE),""))</f>
        <v/>
      </c>
      <c r="S257" s="53">
        <f>IF(B257="","",B257&amp;"|"&amp;TEXT(C257,"00"))</f>
        <v/>
      </c>
      <c r="T257" s="53">
        <f>IF(B257="","",B257&amp;"|"&amp;TEXT(C257-1,"00"))</f>
        <v/>
      </c>
      <c r="U257" s="53">
        <f>IFERROR(INDEX($Q:$Q,MATCH(T257,$S:$S,0)),"")</f>
        <v/>
      </c>
      <c r="V257" s="56">
        <f>IFERROR(INDEX($R:$R,MATCH(T257,$S:$S,0)),"")</f>
        <v/>
      </c>
      <c r="W257" s="56">
        <f>IF(U257="","",IF(Q257&lt;&gt;U257,1,0))</f>
        <v/>
      </c>
      <c r="X257" s="56">
        <f>IF(V257="","",IF(R257&lt;V257,1,0))</f>
        <v/>
      </c>
      <c r="Y257" s="56">
        <f>IF(V257="","",IF(R257&gt;V257,1,0))</f>
        <v/>
      </c>
      <c r="Z257" s="56">
        <f>IF(Q257="Pass",1,0)</f>
        <v/>
      </c>
      <c r="AA257" s="50" t="n"/>
      <c r="AB257" s="50" t="n"/>
      <c r="AC257" s="49" t="n"/>
      <c r="AD257" s="50" t="n"/>
      <c r="AE257" s="49" t="n"/>
    </row>
    <row r="258" ht="15.75" customHeight="1" s="40">
      <c r="A258" s="48" t="n"/>
      <c r="B258" s="48" t="n"/>
      <c r="C258" s="47" t="n"/>
      <c r="D258" s="48" t="n"/>
      <c r="E258" s="48" t="n"/>
      <c r="F258" s="48" t="n"/>
      <c r="G258" s="47" t="n"/>
      <c r="H258" s="50" t="n"/>
      <c r="I258" s="50" t="n"/>
      <c r="J258" s="50" t="n"/>
      <c r="K258" s="50" t="n"/>
      <c r="L258" s="49" t="n"/>
      <c r="M258" s="49" t="n"/>
      <c r="N258" s="49" t="n"/>
      <c r="O258" s="49" t="n"/>
      <c r="P258" s="50" t="n"/>
      <c r="Q258" s="49" t="n"/>
      <c r="R258" s="56">
        <f>IF(Q258="","",IFERROR(VLOOKUP(Q258,Lookups!$A$2:$B$8,2,FALSE),""))</f>
        <v/>
      </c>
      <c r="S258" s="53">
        <f>IF(B258="","",B258&amp;"|"&amp;TEXT(C258,"00"))</f>
        <v/>
      </c>
      <c r="T258" s="53">
        <f>IF(B258="","",B258&amp;"|"&amp;TEXT(C258-1,"00"))</f>
        <v/>
      </c>
      <c r="U258" s="53">
        <f>IFERROR(INDEX($Q:$Q,MATCH(T258,$S:$S,0)),"")</f>
        <v/>
      </c>
      <c r="V258" s="56">
        <f>IFERROR(INDEX($R:$R,MATCH(T258,$S:$S,0)),"")</f>
        <v/>
      </c>
      <c r="W258" s="56">
        <f>IF(U258="","",IF(Q258&lt;&gt;U258,1,0))</f>
        <v/>
      </c>
      <c r="X258" s="56">
        <f>IF(V258="","",IF(R258&lt;V258,1,0))</f>
        <v/>
      </c>
      <c r="Y258" s="56">
        <f>IF(V258="","",IF(R258&gt;V258,1,0))</f>
        <v/>
      </c>
      <c r="Z258" s="56">
        <f>IF(Q258="Pass",1,0)</f>
        <v/>
      </c>
      <c r="AA258" s="50" t="n"/>
      <c r="AB258" s="50" t="n"/>
      <c r="AC258" s="49" t="n"/>
      <c r="AD258" s="50" t="n"/>
      <c r="AE258" s="49" t="n"/>
    </row>
    <row r="259" ht="15.75" customHeight="1" s="40">
      <c r="A259" s="48" t="n"/>
      <c r="B259" s="48" t="n"/>
      <c r="C259" s="47" t="n"/>
      <c r="D259" s="48" t="n"/>
      <c r="E259" s="48" t="n"/>
      <c r="F259" s="48" t="n"/>
      <c r="G259" s="47" t="n"/>
      <c r="H259" s="50" t="n"/>
      <c r="I259" s="50" t="n"/>
      <c r="J259" s="50" t="n"/>
      <c r="K259" s="50" t="n"/>
      <c r="L259" s="49" t="n"/>
      <c r="M259" s="49" t="n"/>
      <c r="N259" s="49" t="n"/>
      <c r="O259" s="49" t="n"/>
      <c r="P259" s="50" t="n"/>
      <c r="Q259" s="49" t="n"/>
      <c r="R259" s="56">
        <f>IF(Q259="","",IFERROR(VLOOKUP(Q259,Lookups!$A$2:$B$8,2,FALSE),""))</f>
        <v/>
      </c>
      <c r="S259" s="53">
        <f>IF(B259="","",B259&amp;"|"&amp;TEXT(C259,"00"))</f>
        <v/>
      </c>
      <c r="T259" s="53">
        <f>IF(B259="","",B259&amp;"|"&amp;TEXT(C259-1,"00"))</f>
        <v/>
      </c>
      <c r="U259" s="53">
        <f>IFERROR(INDEX($Q:$Q,MATCH(T259,$S:$S,0)),"")</f>
        <v/>
      </c>
      <c r="V259" s="56">
        <f>IFERROR(INDEX($R:$R,MATCH(T259,$S:$S,0)),"")</f>
        <v/>
      </c>
      <c r="W259" s="56">
        <f>IF(U259="","",IF(Q259&lt;&gt;U259,1,0))</f>
        <v/>
      </c>
      <c r="X259" s="56">
        <f>IF(V259="","",IF(R259&lt;V259,1,0))</f>
        <v/>
      </c>
      <c r="Y259" s="56">
        <f>IF(V259="","",IF(R259&gt;V259,1,0))</f>
        <v/>
      </c>
      <c r="Z259" s="56">
        <f>IF(Q259="Pass",1,0)</f>
        <v/>
      </c>
      <c r="AA259" s="50" t="n"/>
      <c r="AB259" s="50" t="n"/>
      <c r="AC259" s="49" t="n"/>
      <c r="AD259" s="50" t="n"/>
      <c r="AE259" s="49" t="n"/>
    </row>
    <row r="260" ht="15.75" customHeight="1" s="40">
      <c r="A260" s="48" t="n"/>
      <c r="B260" s="48" t="n"/>
      <c r="C260" s="47" t="n"/>
      <c r="D260" s="48" t="n"/>
      <c r="E260" s="48" t="n"/>
      <c r="F260" s="48" t="n"/>
      <c r="G260" s="47" t="n"/>
      <c r="H260" s="50" t="n"/>
      <c r="I260" s="50" t="n"/>
      <c r="J260" s="50" t="n"/>
      <c r="K260" s="50" t="n"/>
      <c r="L260" s="49" t="n"/>
      <c r="M260" s="49" t="n"/>
      <c r="N260" s="49" t="n"/>
      <c r="O260" s="49" t="n"/>
      <c r="P260" s="50" t="n"/>
      <c r="Q260" s="49" t="n"/>
      <c r="R260" s="56">
        <f>IF(Q260="","",IFERROR(VLOOKUP(Q260,Lookups!$A$2:$B$8,2,FALSE),""))</f>
        <v/>
      </c>
      <c r="S260" s="53">
        <f>IF(B260="","",B260&amp;"|"&amp;TEXT(C260,"00"))</f>
        <v/>
      </c>
      <c r="T260" s="53">
        <f>IF(B260="","",B260&amp;"|"&amp;TEXT(C260-1,"00"))</f>
        <v/>
      </c>
      <c r="U260" s="53">
        <f>IFERROR(INDEX($Q:$Q,MATCH(T260,$S:$S,0)),"")</f>
        <v/>
      </c>
      <c r="V260" s="56">
        <f>IFERROR(INDEX($R:$R,MATCH(T260,$S:$S,0)),"")</f>
        <v/>
      </c>
      <c r="W260" s="56">
        <f>IF(U260="","",IF(Q260&lt;&gt;U260,1,0))</f>
        <v/>
      </c>
      <c r="X260" s="56">
        <f>IF(V260="","",IF(R260&lt;V260,1,0))</f>
        <v/>
      </c>
      <c r="Y260" s="56">
        <f>IF(V260="","",IF(R260&gt;V260,1,0))</f>
        <v/>
      </c>
      <c r="Z260" s="56">
        <f>IF(Q260="Pass",1,0)</f>
        <v/>
      </c>
      <c r="AA260" s="50" t="n"/>
      <c r="AB260" s="50" t="n"/>
      <c r="AC260" s="49" t="n"/>
      <c r="AD260" s="50" t="n"/>
      <c r="AE260" s="49" t="n"/>
    </row>
    <row r="261" ht="15.75" customHeight="1" s="40">
      <c r="A261" s="48" t="n"/>
      <c r="B261" s="48" t="n"/>
      <c r="C261" s="47" t="n"/>
      <c r="D261" s="48" t="n"/>
      <c r="E261" s="48" t="n"/>
      <c r="F261" s="48" t="n"/>
      <c r="G261" s="47" t="n"/>
      <c r="H261" s="50" t="n"/>
      <c r="I261" s="50" t="n"/>
      <c r="J261" s="50" t="n"/>
      <c r="K261" s="50" t="n"/>
      <c r="L261" s="49" t="n"/>
      <c r="M261" s="49" t="n"/>
      <c r="N261" s="49" t="n"/>
      <c r="O261" s="49" t="n"/>
      <c r="P261" s="50" t="n"/>
      <c r="Q261" s="49" t="n"/>
      <c r="R261" s="56">
        <f>IF(Q261="","",IFERROR(VLOOKUP(Q261,Lookups!$A$2:$B$8,2,FALSE),""))</f>
        <v/>
      </c>
      <c r="S261" s="53">
        <f>IF(B261="","",B261&amp;"|"&amp;TEXT(C261,"00"))</f>
        <v/>
      </c>
      <c r="T261" s="53">
        <f>IF(B261="","",B261&amp;"|"&amp;TEXT(C261-1,"00"))</f>
        <v/>
      </c>
      <c r="U261" s="53">
        <f>IFERROR(INDEX($Q:$Q,MATCH(T261,$S:$S,0)),"")</f>
        <v/>
      </c>
      <c r="V261" s="56">
        <f>IFERROR(INDEX($R:$R,MATCH(T261,$S:$S,0)),"")</f>
        <v/>
      </c>
      <c r="W261" s="56">
        <f>IF(U261="","",IF(Q261&lt;&gt;U261,1,0))</f>
        <v/>
      </c>
      <c r="X261" s="56">
        <f>IF(V261="","",IF(R261&lt;V261,1,0))</f>
        <v/>
      </c>
      <c r="Y261" s="56">
        <f>IF(V261="","",IF(R261&gt;V261,1,0))</f>
        <v/>
      </c>
      <c r="Z261" s="56">
        <f>IF(Q261="Pass",1,0)</f>
        <v/>
      </c>
      <c r="AA261" s="50" t="n"/>
      <c r="AB261" s="50" t="n"/>
      <c r="AC261" s="49" t="n"/>
      <c r="AD261" s="50" t="n"/>
      <c r="AE261" s="49" t="n"/>
    </row>
    <row r="262" ht="15.75" customHeight="1" s="40">
      <c r="A262" s="48" t="n"/>
      <c r="B262" s="48" t="n"/>
      <c r="C262" s="47" t="n"/>
      <c r="D262" s="48" t="n"/>
      <c r="E262" s="48" t="n"/>
      <c r="F262" s="48" t="n"/>
      <c r="G262" s="47" t="n"/>
      <c r="H262" s="50" t="n"/>
      <c r="I262" s="50" t="n"/>
      <c r="J262" s="50" t="n"/>
      <c r="K262" s="50" t="n"/>
      <c r="L262" s="49" t="n"/>
      <c r="M262" s="49" t="n"/>
      <c r="N262" s="49" t="n"/>
      <c r="O262" s="49" t="n"/>
      <c r="P262" s="50" t="n"/>
      <c r="Q262" s="49" t="n"/>
      <c r="R262" s="56">
        <f>IF(Q262="","",IFERROR(VLOOKUP(Q262,Lookups!$A$2:$B$8,2,FALSE),""))</f>
        <v/>
      </c>
      <c r="S262" s="53">
        <f>IF(B262="","",B262&amp;"|"&amp;TEXT(C262,"00"))</f>
        <v/>
      </c>
      <c r="T262" s="53">
        <f>IF(B262="","",B262&amp;"|"&amp;TEXT(C262-1,"00"))</f>
        <v/>
      </c>
      <c r="U262" s="53">
        <f>IFERROR(INDEX($Q:$Q,MATCH(T262,$S:$S,0)),"")</f>
        <v/>
      </c>
      <c r="V262" s="56">
        <f>IFERROR(INDEX($R:$R,MATCH(T262,$S:$S,0)),"")</f>
        <v/>
      </c>
      <c r="W262" s="56">
        <f>IF(U262="","",IF(Q262&lt;&gt;U262,1,0))</f>
        <v/>
      </c>
      <c r="X262" s="56">
        <f>IF(V262="","",IF(R262&lt;V262,1,0))</f>
        <v/>
      </c>
      <c r="Y262" s="56">
        <f>IF(V262="","",IF(R262&gt;V262,1,0))</f>
        <v/>
      </c>
      <c r="Z262" s="56">
        <f>IF(Q262="Pass",1,0)</f>
        <v/>
      </c>
      <c r="AA262" s="50" t="n"/>
      <c r="AB262" s="50" t="n"/>
      <c r="AC262" s="49" t="n"/>
      <c r="AD262" s="50" t="n"/>
      <c r="AE262" s="49" t="n"/>
    </row>
    <row r="263" ht="15.75" customHeight="1" s="40">
      <c r="A263" s="48" t="n"/>
      <c r="B263" s="48" t="n"/>
      <c r="C263" s="47" t="n"/>
      <c r="D263" s="48" t="n"/>
      <c r="E263" s="48" t="n"/>
      <c r="F263" s="48" t="n"/>
      <c r="G263" s="47" t="n"/>
      <c r="H263" s="50" t="n"/>
      <c r="I263" s="50" t="n"/>
      <c r="J263" s="50" t="n"/>
      <c r="K263" s="50" t="n"/>
      <c r="L263" s="49" t="n"/>
      <c r="M263" s="49" t="n"/>
      <c r="N263" s="49" t="n"/>
      <c r="O263" s="49" t="n"/>
      <c r="P263" s="50" t="n"/>
      <c r="Q263" s="49" t="n"/>
      <c r="R263" s="56">
        <f>IF(Q263="","",IFERROR(VLOOKUP(Q263,Lookups!$A$2:$B$8,2,FALSE),""))</f>
        <v/>
      </c>
      <c r="S263" s="53">
        <f>IF(B263="","",B263&amp;"|"&amp;TEXT(C263,"00"))</f>
        <v/>
      </c>
      <c r="T263" s="53">
        <f>IF(B263="","",B263&amp;"|"&amp;TEXT(C263-1,"00"))</f>
        <v/>
      </c>
      <c r="U263" s="53">
        <f>IFERROR(INDEX($Q:$Q,MATCH(T263,$S:$S,0)),"")</f>
        <v/>
      </c>
      <c r="V263" s="56">
        <f>IFERROR(INDEX($R:$R,MATCH(T263,$S:$S,0)),"")</f>
        <v/>
      </c>
      <c r="W263" s="56">
        <f>IF(U263="","",IF(Q263&lt;&gt;U263,1,0))</f>
        <v/>
      </c>
      <c r="X263" s="56">
        <f>IF(V263="","",IF(R263&lt;V263,1,0))</f>
        <v/>
      </c>
      <c r="Y263" s="56">
        <f>IF(V263="","",IF(R263&gt;V263,1,0))</f>
        <v/>
      </c>
      <c r="Z263" s="56">
        <f>IF(Q263="Pass",1,0)</f>
        <v/>
      </c>
      <c r="AA263" s="50" t="n"/>
      <c r="AB263" s="50" t="n"/>
      <c r="AC263" s="49" t="n"/>
      <c r="AD263" s="50" t="n"/>
      <c r="AE263" s="49" t="n"/>
    </row>
    <row r="264" ht="15.75" customHeight="1" s="40">
      <c r="A264" s="48" t="n"/>
      <c r="B264" s="48" t="n"/>
      <c r="C264" s="47" t="n"/>
      <c r="D264" s="48" t="n"/>
      <c r="E264" s="48" t="n"/>
      <c r="F264" s="48" t="n"/>
      <c r="G264" s="47" t="n"/>
      <c r="H264" s="50" t="n"/>
      <c r="I264" s="50" t="n"/>
      <c r="J264" s="50" t="n"/>
      <c r="K264" s="50" t="n"/>
      <c r="L264" s="49" t="n"/>
      <c r="M264" s="49" t="n"/>
      <c r="N264" s="49" t="n"/>
      <c r="O264" s="49" t="n"/>
      <c r="P264" s="50" t="n"/>
      <c r="Q264" s="49" t="n"/>
      <c r="R264" s="56">
        <f>IF(Q264="","",IFERROR(VLOOKUP(Q264,Lookups!$A$2:$B$8,2,FALSE),""))</f>
        <v/>
      </c>
      <c r="S264" s="53">
        <f>IF(B264="","",B264&amp;"|"&amp;TEXT(C264,"00"))</f>
        <v/>
      </c>
      <c r="T264" s="53">
        <f>IF(B264="","",B264&amp;"|"&amp;TEXT(C264-1,"00"))</f>
        <v/>
      </c>
      <c r="U264" s="53">
        <f>IFERROR(INDEX($Q:$Q,MATCH(T264,$S:$S,0)),"")</f>
        <v/>
      </c>
      <c r="V264" s="56">
        <f>IFERROR(INDEX($R:$R,MATCH(T264,$S:$S,0)),"")</f>
        <v/>
      </c>
      <c r="W264" s="56">
        <f>IF(U264="","",IF(Q264&lt;&gt;U264,1,0))</f>
        <v/>
      </c>
      <c r="X264" s="56">
        <f>IF(V264="","",IF(R264&lt;V264,1,0))</f>
        <v/>
      </c>
      <c r="Y264" s="56">
        <f>IF(V264="","",IF(R264&gt;V264,1,0))</f>
        <v/>
      </c>
      <c r="Z264" s="56">
        <f>IF(Q264="Pass",1,0)</f>
        <v/>
      </c>
      <c r="AA264" s="50" t="n"/>
      <c r="AB264" s="50" t="n"/>
      <c r="AC264" s="49" t="n"/>
      <c r="AD264" s="50" t="n"/>
      <c r="AE264" s="49" t="n"/>
    </row>
    <row r="265" ht="15.75" customHeight="1" s="40">
      <c r="A265" s="48" t="n"/>
      <c r="B265" s="48" t="n"/>
      <c r="C265" s="47" t="n"/>
      <c r="D265" s="48" t="n"/>
      <c r="E265" s="48" t="n"/>
      <c r="F265" s="48" t="n"/>
      <c r="G265" s="47" t="n"/>
      <c r="H265" s="50" t="n"/>
      <c r="I265" s="50" t="n"/>
      <c r="J265" s="50" t="n"/>
      <c r="K265" s="50" t="n"/>
      <c r="L265" s="49" t="n"/>
      <c r="M265" s="49" t="n"/>
      <c r="N265" s="49" t="n"/>
      <c r="O265" s="49" t="n"/>
      <c r="P265" s="50" t="n"/>
      <c r="Q265" s="49" t="n"/>
      <c r="R265" s="56">
        <f>IF(Q265="","",IFERROR(VLOOKUP(Q265,Lookups!$A$2:$B$8,2,FALSE),""))</f>
        <v/>
      </c>
      <c r="S265" s="53">
        <f>IF(B265="","",B265&amp;"|"&amp;TEXT(C265,"00"))</f>
        <v/>
      </c>
      <c r="T265" s="53">
        <f>IF(B265="","",B265&amp;"|"&amp;TEXT(C265-1,"00"))</f>
        <v/>
      </c>
      <c r="U265" s="53">
        <f>IFERROR(INDEX($Q:$Q,MATCH(T265,$S:$S,0)),"")</f>
        <v/>
      </c>
      <c r="V265" s="56">
        <f>IFERROR(INDEX($R:$R,MATCH(T265,$S:$S,0)),"")</f>
        <v/>
      </c>
      <c r="W265" s="56">
        <f>IF(U265="","",IF(Q265&lt;&gt;U265,1,0))</f>
        <v/>
      </c>
      <c r="X265" s="56">
        <f>IF(V265="","",IF(R265&lt;V265,1,0))</f>
        <v/>
      </c>
      <c r="Y265" s="56">
        <f>IF(V265="","",IF(R265&gt;V265,1,0))</f>
        <v/>
      </c>
      <c r="Z265" s="56">
        <f>IF(Q265="Pass",1,0)</f>
        <v/>
      </c>
      <c r="AA265" s="50" t="n"/>
      <c r="AB265" s="50" t="n"/>
      <c r="AC265" s="49" t="n"/>
      <c r="AD265" s="50" t="n"/>
      <c r="AE265" s="49" t="n"/>
    </row>
    <row r="266" ht="15.75" customHeight="1" s="40">
      <c r="A266" s="48" t="n"/>
      <c r="B266" s="48" t="n"/>
      <c r="C266" s="47" t="n"/>
      <c r="D266" s="48" t="n"/>
      <c r="E266" s="48" t="n"/>
      <c r="F266" s="48" t="n"/>
      <c r="G266" s="47" t="n"/>
      <c r="H266" s="50" t="n"/>
      <c r="I266" s="50" t="n"/>
      <c r="J266" s="50" t="n"/>
      <c r="K266" s="50" t="n"/>
      <c r="L266" s="49" t="n"/>
      <c r="M266" s="49" t="n"/>
      <c r="N266" s="49" t="n"/>
      <c r="O266" s="49" t="n"/>
      <c r="P266" s="50" t="n"/>
      <c r="Q266" s="49" t="n"/>
      <c r="R266" s="56">
        <f>IF(Q266="","",IFERROR(VLOOKUP(Q266,Lookups!$A$2:$B$8,2,FALSE),""))</f>
        <v/>
      </c>
      <c r="S266" s="53">
        <f>IF(B266="","",B266&amp;"|"&amp;TEXT(C266,"00"))</f>
        <v/>
      </c>
      <c r="T266" s="53">
        <f>IF(B266="","",B266&amp;"|"&amp;TEXT(C266-1,"00"))</f>
        <v/>
      </c>
      <c r="U266" s="53">
        <f>IFERROR(INDEX($Q:$Q,MATCH(T266,$S:$S,0)),"")</f>
        <v/>
      </c>
      <c r="V266" s="56">
        <f>IFERROR(INDEX($R:$R,MATCH(T266,$S:$S,0)),"")</f>
        <v/>
      </c>
      <c r="W266" s="56">
        <f>IF(U266="","",IF(Q266&lt;&gt;U266,1,0))</f>
        <v/>
      </c>
      <c r="X266" s="56">
        <f>IF(V266="","",IF(R266&lt;V266,1,0))</f>
        <v/>
      </c>
      <c r="Y266" s="56">
        <f>IF(V266="","",IF(R266&gt;V266,1,0))</f>
        <v/>
      </c>
      <c r="Z266" s="56">
        <f>IF(Q266="Pass",1,0)</f>
        <v/>
      </c>
      <c r="AA266" s="50" t="n"/>
      <c r="AB266" s="50" t="n"/>
      <c r="AC266" s="49" t="n"/>
      <c r="AD266" s="50" t="n"/>
      <c r="AE266" s="49" t="n"/>
    </row>
    <row r="267" ht="15.75" customHeight="1" s="40">
      <c r="A267" s="48" t="n"/>
      <c r="B267" s="48" t="n"/>
      <c r="C267" s="47" t="n"/>
      <c r="D267" s="48" t="n"/>
      <c r="E267" s="48" t="n"/>
      <c r="F267" s="48" t="n"/>
      <c r="G267" s="47" t="n"/>
      <c r="H267" s="50" t="n"/>
      <c r="I267" s="50" t="n"/>
      <c r="J267" s="50" t="n"/>
      <c r="K267" s="50" t="n"/>
      <c r="L267" s="49" t="n"/>
      <c r="M267" s="49" t="n"/>
      <c r="N267" s="49" t="n"/>
      <c r="O267" s="49" t="n"/>
      <c r="P267" s="50" t="n"/>
      <c r="Q267" s="49" t="n"/>
      <c r="R267" s="56">
        <f>IF(Q267="","",IFERROR(VLOOKUP(Q267,Lookups!$A$2:$B$8,2,FALSE),""))</f>
        <v/>
      </c>
      <c r="S267" s="53">
        <f>IF(B267="","",B267&amp;"|"&amp;TEXT(C267,"00"))</f>
        <v/>
      </c>
      <c r="T267" s="53">
        <f>IF(B267="","",B267&amp;"|"&amp;TEXT(C267-1,"00"))</f>
        <v/>
      </c>
      <c r="U267" s="53">
        <f>IFERROR(INDEX($Q:$Q,MATCH(T267,$S:$S,0)),"")</f>
        <v/>
      </c>
      <c r="V267" s="56">
        <f>IFERROR(INDEX($R:$R,MATCH(T267,$S:$S,0)),"")</f>
        <v/>
      </c>
      <c r="W267" s="56">
        <f>IF(U267="","",IF(Q267&lt;&gt;U267,1,0))</f>
        <v/>
      </c>
      <c r="X267" s="56">
        <f>IF(V267="","",IF(R267&lt;V267,1,0))</f>
        <v/>
      </c>
      <c r="Y267" s="56">
        <f>IF(V267="","",IF(R267&gt;V267,1,0))</f>
        <v/>
      </c>
      <c r="Z267" s="56">
        <f>IF(Q267="Pass",1,0)</f>
        <v/>
      </c>
      <c r="AA267" s="50" t="n"/>
      <c r="AB267" s="50" t="n"/>
      <c r="AC267" s="49" t="n"/>
      <c r="AD267" s="50" t="n"/>
      <c r="AE267" s="49" t="n"/>
    </row>
    <row r="268" ht="15.75" customHeight="1" s="40">
      <c r="A268" s="48" t="n"/>
      <c r="B268" s="48" t="n"/>
      <c r="C268" s="47" t="n"/>
      <c r="D268" s="48" t="n"/>
      <c r="E268" s="48" t="n"/>
      <c r="F268" s="48" t="n"/>
      <c r="G268" s="47" t="n"/>
      <c r="H268" s="50" t="n"/>
      <c r="I268" s="50" t="n"/>
      <c r="J268" s="50" t="n"/>
      <c r="K268" s="50" t="n"/>
      <c r="L268" s="49" t="n"/>
      <c r="M268" s="49" t="n"/>
      <c r="N268" s="49" t="n"/>
      <c r="O268" s="49" t="n"/>
      <c r="P268" s="50" t="n"/>
      <c r="Q268" s="49" t="n"/>
      <c r="R268" s="56">
        <f>IF(Q268="","",IFERROR(VLOOKUP(Q268,Lookups!$A$2:$B$8,2,FALSE),""))</f>
        <v/>
      </c>
      <c r="S268" s="53">
        <f>IF(B268="","",B268&amp;"|"&amp;TEXT(C268,"00"))</f>
        <v/>
      </c>
      <c r="T268" s="53">
        <f>IF(B268="","",B268&amp;"|"&amp;TEXT(C268-1,"00"))</f>
        <v/>
      </c>
      <c r="U268" s="53">
        <f>IFERROR(INDEX($Q:$Q,MATCH(T268,$S:$S,0)),"")</f>
        <v/>
      </c>
      <c r="V268" s="56">
        <f>IFERROR(INDEX($R:$R,MATCH(T268,$S:$S,0)),"")</f>
        <v/>
      </c>
      <c r="W268" s="56">
        <f>IF(U268="","",IF(Q268&lt;&gt;U268,1,0))</f>
        <v/>
      </c>
      <c r="X268" s="56">
        <f>IF(V268="","",IF(R268&lt;V268,1,0))</f>
        <v/>
      </c>
      <c r="Y268" s="56">
        <f>IF(V268="","",IF(R268&gt;V268,1,0))</f>
        <v/>
      </c>
      <c r="Z268" s="56">
        <f>IF(Q268="Pass",1,0)</f>
        <v/>
      </c>
      <c r="AA268" s="50" t="n"/>
      <c r="AB268" s="50" t="n"/>
      <c r="AC268" s="49" t="n"/>
      <c r="AD268" s="50" t="n"/>
      <c r="AE268" s="49" t="n"/>
    </row>
    <row r="269" ht="15.75" customHeight="1" s="40">
      <c r="A269" s="48" t="n"/>
      <c r="B269" s="48" t="n"/>
      <c r="C269" s="47" t="n"/>
      <c r="D269" s="48" t="n"/>
      <c r="E269" s="48" t="n"/>
      <c r="F269" s="48" t="n"/>
      <c r="G269" s="47" t="n"/>
      <c r="H269" s="50" t="n"/>
      <c r="I269" s="50" t="n"/>
      <c r="J269" s="50" t="n"/>
      <c r="K269" s="50" t="n"/>
      <c r="L269" s="49" t="n"/>
      <c r="M269" s="49" t="n"/>
      <c r="N269" s="49" t="n"/>
      <c r="O269" s="49" t="n"/>
      <c r="P269" s="50" t="n"/>
      <c r="Q269" s="49" t="n"/>
      <c r="R269" s="56">
        <f>IF(Q269="","",IFERROR(VLOOKUP(Q269,Lookups!$A$2:$B$8,2,FALSE),""))</f>
        <v/>
      </c>
      <c r="S269" s="53">
        <f>IF(B269="","",B269&amp;"|"&amp;TEXT(C269,"00"))</f>
        <v/>
      </c>
      <c r="T269" s="53">
        <f>IF(B269="","",B269&amp;"|"&amp;TEXT(C269-1,"00"))</f>
        <v/>
      </c>
      <c r="U269" s="53">
        <f>IFERROR(INDEX($Q:$Q,MATCH(T269,$S:$S,0)),"")</f>
        <v/>
      </c>
      <c r="V269" s="56">
        <f>IFERROR(INDEX($R:$R,MATCH(T269,$S:$S,0)),"")</f>
        <v/>
      </c>
      <c r="W269" s="56">
        <f>IF(U269="","",IF(Q269&lt;&gt;U269,1,0))</f>
        <v/>
      </c>
      <c r="X269" s="56">
        <f>IF(V269="","",IF(R269&lt;V269,1,0))</f>
        <v/>
      </c>
      <c r="Y269" s="56">
        <f>IF(V269="","",IF(R269&gt;V269,1,0))</f>
        <v/>
      </c>
      <c r="Z269" s="56">
        <f>IF(Q269="Pass",1,0)</f>
        <v/>
      </c>
      <c r="AA269" s="50" t="n"/>
      <c r="AB269" s="50" t="n"/>
      <c r="AC269" s="49" t="n"/>
      <c r="AD269" s="50" t="n"/>
      <c r="AE269" s="49" t="n"/>
    </row>
    <row r="270" ht="15.75" customHeight="1" s="40">
      <c r="A270" s="48" t="n"/>
      <c r="B270" s="48" t="n"/>
      <c r="C270" s="47" t="n"/>
      <c r="D270" s="48" t="n"/>
      <c r="E270" s="48" t="n"/>
      <c r="F270" s="48" t="n"/>
      <c r="G270" s="47" t="n"/>
      <c r="H270" s="50" t="n"/>
      <c r="I270" s="50" t="n"/>
      <c r="J270" s="50" t="n"/>
      <c r="K270" s="50" t="n"/>
      <c r="L270" s="49" t="n"/>
      <c r="M270" s="49" t="n"/>
      <c r="N270" s="49" t="n"/>
      <c r="O270" s="49" t="n"/>
      <c r="P270" s="50" t="n"/>
      <c r="Q270" s="49" t="n"/>
      <c r="R270" s="56">
        <f>IF(Q270="","",IFERROR(VLOOKUP(Q270,Lookups!$A$2:$B$8,2,FALSE),""))</f>
        <v/>
      </c>
      <c r="S270" s="53">
        <f>IF(B270="","",B270&amp;"|"&amp;TEXT(C270,"00"))</f>
        <v/>
      </c>
      <c r="T270" s="53">
        <f>IF(B270="","",B270&amp;"|"&amp;TEXT(C270-1,"00"))</f>
        <v/>
      </c>
      <c r="U270" s="53">
        <f>IFERROR(INDEX($Q:$Q,MATCH(T270,$S:$S,0)),"")</f>
        <v/>
      </c>
      <c r="V270" s="56">
        <f>IFERROR(INDEX($R:$R,MATCH(T270,$S:$S,0)),"")</f>
        <v/>
      </c>
      <c r="W270" s="56">
        <f>IF(U270="","",IF(Q270&lt;&gt;U270,1,0))</f>
        <v/>
      </c>
      <c r="X270" s="56">
        <f>IF(V270="","",IF(R270&lt;V270,1,0))</f>
        <v/>
      </c>
      <c r="Y270" s="56">
        <f>IF(V270="","",IF(R270&gt;V270,1,0))</f>
        <v/>
      </c>
      <c r="Z270" s="56">
        <f>IF(Q270="Pass",1,0)</f>
        <v/>
      </c>
      <c r="AA270" s="50" t="n"/>
      <c r="AB270" s="50" t="n"/>
      <c r="AC270" s="49" t="n"/>
      <c r="AD270" s="50" t="n"/>
      <c r="AE270" s="49" t="n"/>
    </row>
    <row r="271" ht="15.75" customHeight="1" s="40">
      <c r="A271" s="48" t="n"/>
      <c r="B271" s="48" t="n"/>
      <c r="C271" s="47" t="n"/>
      <c r="D271" s="48" t="n"/>
      <c r="E271" s="48" t="n"/>
      <c r="F271" s="48" t="n"/>
      <c r="G271" s="47" t="n"/>
      <c r="H271" s="50" t="n"/>
      <c r="I271" s="50" t="n"/>
      <c r="J271" s="50" t="n"/>
      <c r="K271" s="50" t="n"/>
      <c r="L271" s="49" t="n"/>
      <c r="M271" s="49" t="n"/>
      <c r="N271" s="49" t="n"/>
      <c r="O271" s="49" t="n"/>
      <c r="P271" s="50" t="n"/>
      <c r="Q271" s="49" t="n"/>
      <c r="R271" s="56">
        <f>IF(Q271="","",IFERROR(VLOOKUP(Q271,Lookups!$A$2:$B$8,2,FALSE),""))</f>
        <v/>
      </c>
      <c r="S271" s="53">
        <f>IF(B271="","",B271&amp;"|"&amp;TEXT(C271,"00"))</f>
        <v/>
      </c>
      <c r="T271" s="53">
        <f>IF(B271="","",B271&amp;"|"&amp;TEXT(C271-1,"00"))</f>
        <v/>
      </c>
      <c r="U271" s="53">
        <f>IFERROR(INDEX($Q:$Q,MATCH(T271,$S:$S,0)),"")</f>
        <v/>
      </c>
      <c r="V271" s="56">
        <f>IFERROR(INDEX($R:$R,MATCH(T271,$S:$S,0)),"")</f>
        <v/>
      </c>
      <c r="W271" s="56">
        <f>IF(U271="","",IF(Q271&lt;&gt;U271,1,0))</f>
        <v/>
      </c>
      <c r="X271" s="56">
        <f>IF(V271="","",IF(R271&lt;V271,1,0))</f>
        <v/>
      </c>
      <c r="Y271" s="56">
        <f>IF(V271="","",IF(R271&gt;V271,1,0))</f>
        <v/>
      </c>
      <c r="Z271" s="56">
        <f>IF(Q271="Pass",1,0)</f>
        <v/>
      </c>
      <c r="AA271" s="50" t="n"/>
      <c r="AB271" s="50" t="n"/>
      <c r="AC271" s="49" t="n"/>
      <c r="AD271" s="50" t="n"/>
      <c r="AE271" s="49" t="n"/>
    </row>
    <row r="272" ht="15.75" customHeight="1" s="40">
      <c r="A272" s="48" t="n"/>
      <c r="B272" s="48" t="n"/>
      <c r="C272" s="47" t="n"/>
      <c r="D272" s="48" t="n"/>
      <c r="E272" s="48" t="n"/>
      <c r="F272" s="48" t="n"/>
      <c r="G272" s="47" t="n"/>
      <c r="H272" s="50" t="n"/>
      <c r="I272" s="50" t="n"/>
      <c r="J272" s="50" t="n"/>
      <c r="K272" s="50" t="n"/>
      <c r="L272" s="49" t="n"/>
      <c r="M272" s="49" t="n"/>
      <c r="N272" s="49" t="n"/>
      <c r="O272" s="49" t="n"/>
      <c r="P272" s="50" t="n"/>
      <c r="Q272" s="49" t="n"/>
      <c r="R272" s="56">
        <f>IF(Q272="","",IFERROR(VLOOKUP(Q272,Lookups!$A$2:$B$8,2,FALSE),""))</f>
        <v/>
      </c>
      <c r="S272" s="53">
        <f>IF(B272="","",B272&amp;"|"&amp;TEXT(C272,"00"))</f>
        <v/>
      </c>
      <c r="T272" s="53">
        <f>IF(B272="","",B272&amp;"|"&amp;TEXT(C272-1,"00"))</f>
        <v/>
      </c>
      <c r="U272" s="53">
        <f>IFERROR(INDEX($Q:$Q,MATCH(T272,$S:$S,0)),"")</f>
        <v/>
      </c>
      <c r="V272" s="56">
        <f>IFERROR(INDEX($R:$R,MATCH(T272,$S:$S,0)),"")</f>
        <v/>
      </c>
      <c r="W272" s="56">
        <f>IF(U272="","",IF(Q272&lt;&gt;U272,1,0))</f>
        <v/>
      </c>
      <c r="X272" s="56">
        <f>IF(V272="","",IF(R272&lt;V272,1,0))</f>
        <v/>
      </c>
      <c r="Y272" s="56">
        <f>IF(V272="","",IF(R272&gt;V272,1,0))</f>
        <v/>
      </c>
      <c r="Z272" s="56">
        <f>IF(Q272="Pass",1,0)</f>
        <v/>
      </c>
      <c r="AA272" s="50" t="n"/>
      <c r="AB272" s="50" t="n"/>
      <c r="AC272" s="49" t="n"/>
      <c r="AD272" s="50" t="n"/>
      <c r="AE272" s="49" t="n"/>
    </row>
    <row r="273" ht="15.75" customHeight="1" s="40">
      <c r="A273" s="48" t="n"/>
      <c r="B273" s="48" t="n"/>
      <c r="C273" s="47" t="n"/>
      <c r="D273" s="48" t="n"/>
      <c r="E273" s="48" t="n"/>
      <c r="F273" s="48" t="n"/>
      <c r="G273" s="47" t="n"/>
      <c r="H273" s="50" t="n"/>
      <c r="I273" s="50" t="n"/>
      <c r="J273" s="50" t="n"/>
      <c r="K273" s="50" t="n"/>
      <c r="L273" s="49" t="n"/>
      <c r="M273" s="49" t="n"/>
      <c r="N273" s="49" t="n"/>
      <c r="O273" s="49" t="n"/>
      <c r="P273" s="50" t="n"/>
      <c r="Q273" s="49" t="n"/>
      <c r="R273" s="56">
        <f>IF(Q273="","",IFERROR(VLOOKUP(Q273,Lookups!$A$2:$B$8,2,FALSE),""))</f>
        <v/>
      </c>
      <c r="S273" s="53">
        <f>IF(B273="","",B273&amp;"|"&amp;TEXT(C273,"00"))</f>
        <v/>
      </c>
      <c r="T273" s="53">
        <f>IF(B273="","",B273&amp;"|"&amp;TEXT(C273-1,"00"))</f>
        <v/>
      </c>
      <c r="U273" s="53">
        <f>IFERROR(INDEX($Q:$Q,MATCH(T273,$S:$S,0)),"")</f>
        <v/>
      </c>
      <c r="V273" s="56">
        <f>IFERROR(INDEX($R:$R,MATCH(T273,$S:$S,0)),"")</f>
        <v/>
      </c>
      <c r="W273" s="56">
        <f>IF(U273="","",IF(Q273&lt;&gt;U273,1,0))</f>
        <v/>
      </c>
      <c r="X273" s="56">
        <f>IF(V273="","",IF(R273&lt;V273,1,0))</f>
        <v/>
      </c>
      <c r="Y273" s="56">
        <f>IF(V273="","",IF(R273&gt;V273,1,0))</f>
        <v/>
      </c>
      <c r="Z273" s="56">
        <f>IF(Q273="Pass",1,0)</f>
        <v/>
      </c>
      <c r="AA273" s="50" t="n"/>
      <c r="AB273" s="50" t="n"/>
      <c r="AC273" s="49" t="n"/>
      <c r="AD273" s="50" t="n"/>
      <c r="AE273" s="49" t="n"/>
    </row>
    <row r="274" ht="15.75" customHeight="1" s="40">
      <c r="A274" s="48" t="n"/>
      <c r="B274" s="48" t="n"/>
      <c r="C274" s="47" t="n"/>
      <c r="D274" s="48" t="n"/>
      <c r="E274" s="48" t="n"/>
      <c r="F274" s="48" t="n"/>
      <c r="G274" s="47" t="n"/>
      <c r="H274" s="50" t="n"/>
      <c r="I274" s="50" t="n"/>
      <c r="J274" s="50" t="n"/>
      <c r="K274" s="50" t="n"/>
      <c r="L274" s="49" t="n"/>
      <c r="M274" s="49" t="n"/>
      <c r="N274" s="49" t="n"/>
      <c r="O274" s="49" t="n"/>
      <c r="P274" s="50" t="n"/>
      <c r="Q274" s="49" t="n"/>
      <c r="R274" s="56">
        <f>IF(Q274="","",IFERROR(VLOOKUP(Q274,Lookups!$A$2:$B$8,2,FALSE),""))</f>
        <v/>
      </c>
      <c r="S274" s="53">
        <f>IF(B274="","",B274&amp;"|"&amp;TEXT(C274,"00"))</f>
        <v/>
      </c>
      <c r="T274" s="53">
        <f>IF(B274="","",B274&amp;"|"&amp;TEXT(C274-1,"00"))</f>
        <v/>
      </c>
      <c r="U274" s="53">
        <f>IFERROR(INDEX($Q:$Q,MATCH(T274,$S:$S,0)),"")</f>
        <v/>
      </c>
      <c r="V274" s="56">
        <f>IFERROR(INDEX($R:$R,MATCH(T274,$S:$S,0)),"")</f>
        <v/>
      </c>
      <c r="W274" s="56">
        <f>IF(U274="","",IF(Q274&lt;&gt;U274,1,0))</f>
        <v/>
      </c>
      <c r="X274" s="56">
        <f>IF(V274="","",IF(R274&lt;V274,1,0))</f>
        <v/>
      </c>
      <c r="Y274" s="56">
        <f>IF(V274="","",IF(R274&gt;V274,1,0))</f>
        <v/>
      </c>
      <c r="Z274" s="56">
        <f>IF(Q274="Pass",1,0)</f>
        <v/>
      </c>
      <c r="AA274" s="50" t="n"/>
      <c r="AB274" s="50" t="n"/>
      <c r="AC274" s="49" t="n"/>
      <c r="AD274" s="50" t="n"/>
      <c r="AE274" s="49" t="n"/>
    </row>
    <row r="275" ht="15.75" customHeight="1" s="40">
      <c r="A275" s="48" t="n"/>
      <c r="B275" s="48" t="n"/>
      <c r="C275" s="47" t="n"/>
      <c r="D275" s="48" t="n"/>
      <c r="E275" s="48" t="n"/>
      <c r="F275" s="48" t="n"/>
      <c r="G275" s="47" t="n"/>
      <c r="H275" s="50" t="n"/>
      <c r="I275" s="50" t="n"/>
      <c r="J275" s="50" t="n"/>
      <c r="K275" s="50" t="n"/>
      <c r="L275" s="49" t="n"/>
      <c r="M275" s="49" t="n"/>
      <c r="N275" s="49" t="n"/>
      <c r="O275" s="49" t="n"/>
      <c r="P275" s="50" t="n"/>
      <c r="Q275" s="49" t="n"/>
      <c r="R275" s="56">
        <f>IF(Q275="","",IFERROR(VLOOKUP(Q275,Lookups!$A$2:$B$8,2,FALSE),""))</f>
        <v/>
      </c>
      <c r="S275" s="53">
        <f>IF(B275="","",B275&amp;"|"&amp;TEXT(C275,"00"))</f>
        <v/>
      </c>
      <c r="T275" s="53">
        <f>IF(B275="","",B275&amp;"|"&amp;TEXT(C275-1,"00"))</f>
        <v/>
      </c>
      <c r="U275" s="53">
        <f>IFERROR(INDEX($Q:$Q,MATCH(T275,$S:$S,0)),"")</f>
        <v/>
      </c>
      <c r="V275" s="56">
        <f>IFERROR(INDEX($R:$R,MATCH(T275,$S:$S,0)),"")</f>
        <v/>
      </c>
      <c r="W275" s="56">
        <f>IF(U275="","",IF(Q275&lt;&gt;U275,1,0))</f>
        <v/>
      </c>
      <c r="X275" s="56">
        <f>IF(V275="","",IF(R275&lt;V275,1,0))</f>
        <v/>
      </c>
      <c r="Y275" s="56">
        <f>IF(V275="","",IF(R275&gt;V275,1,0))</f>
        <v/>
      </c>
      <c r="Z275" s="56">
        <f>IF(Q275="Pass",1,0)</f>
        <v/>
      </c>
      <c r="AA275" s="50" t="n"/>
      <c r="AB275" s="50" t="n"/>
      <c r="AC275" s="49" t="n"/>
      <c r="AD275" s="50" t="n"/>
      <c r="AE275" s="49" t="n"/>
    </row>
    <row r="276" ht="15.75" customHeight="1" s="40">
      <c r="A276" s="48" t="n"/>
      <c r="B276" s="48" t="n"/>
      <c r="C276" s="47" t="n"/>
      <c r="D276" s="48" t="n"/>
      <c r="E276" s="48" t="n"/>
      <c r="F276" s="48" t="n"/>
      <c r="G276" s="47" t="n"/>
      <c r="H276" s="50" t="n"/>
      <c r="I276" s="50" t="n"/>
      <c r="J276" s="50" t="n"/>
      <c r="K276" s="50" t="n"/>
      <c r="L276" s="49" t="n"/>
      <c r="M276" s="49" t="n"/>
      <c r="N276" s="49" t="n"/>
      <c r="O276" s="49" t="n"/>
      <c r="P276" s="50" t="n"/>
      <c r="Q276" s="49" t="n"/>
      <c r="R276" s="56">
        <f>IF(Q276="","",IFERROR(VLOOKUP(Q276,Lookups!$A$2:$B$8,2,FALSE),""))</f>
        <v/>
      </c>
      <c r="S276" s="53">
        <f>IF(B276="","",B276&amp;"|"&amp;TEXT(C276,"00"))</f>
        <v/>
      </c>
      <c r="T276" s="53">
        <f>IF(B276="","",B276&amp;"|"&amp;TEXT(C276-1,"00"))</f>
        <v/>
      </c>
      <c r="U276" s="53">
        <f>IFERROR(INDEX($Q:$Q,MATCH(T276,$S:$S,0)),"")</f>
        <v/>
      </c>
      <c r="V276" s="56">
        <f>IFERROR(INDEX($R:$R,MATCH(T276,$S:$S,0)),"")</f>
        <v/>
      </c>
      <c r="W276" s="56">
        <f>IF(U276="","",IF(Q276&lt;&gt;U276,1,0))</f>
        <v/>
      </c>
      <c r="X276" s="56">
        <f>IF(V276="","",IF(R276&lt;V276,1,0))</f>
        <v/>
      </c>
      <c r="Y276" s="56">
        <f>IF(V276="","",IF(R276&gt;V276,1,0))</f>
        <v/>
      </c>
      <c r="Z276" s="56">
        <f>IF(Q276="Pass",1,0)</f>
        <v/>
      </c>
      <c r="AA276" s="50" t="n"/>
      <c r="AB276" s="50" t="n"/>
      <c r="AC276" s="49" t="n"/>
      <c r="AD276" s="50" t="n"/>
      <c r="AE276" s="49" t="n"/>
    </row>
    <row r="277" ht="15.75" customHeight="1" s="40">
      <c r="A277" s="48" t="n"/>
      <c r="B277" s="48" t="n"/>
      <c r="C277" s="47" t="n"/>
      <c r="D277" s="48" t="n"/>
      <c r="E277" s="48" t="n"/>
      <c r="F277" s="48" t="n"/>
      <c r="G277" s="47" t="n"/>
      <c r="H277" s="50" t="n"/>
      <c r="I277" s="50" t="n"/>
      <c r="J277" s="50" t="n"/>
      <c r="K277" s="50" t="n"/>
      <c r="L277" s="49" t="n"/>
      <c r="M277" s="49" t="n"/>
      <c r="N277" s="49" t="n"/>
      <c r="O277" s="49" t="n"/>
      <c r="P277" s="50" t="n"/>
      <c r="Q277" s="49" t="n"/>
      <c r="R277" s="56">
        <f>IF(Q277="","",IFERROR(VLOOKUP(Q277,Lookups!$A$2:$B$8,2,FALSE),""))</f>
        <v/>
      </c>
      <c r="S277" s="53">
        <f>IF(B277="","",B277&amp;"|"&amp;TEXT(C277,"00"))</f>
        <v/>
      </c>
      <c r="T277" s="53">
        <f>IF(B277="","",B277&amp;"|"&amp;TEXT(C277-1,"00"))</f>
        <v/>
      </c>
      <c r="U277" s="53">
        <f>IFERROR(INDEX($Q:$Q,MATCH(T277,$S:$S,0)),"")</f>
        <v/>
      </c>
      <c r="V277" s="56">
        <f>IFERROR(INDEX($R:$R,MATCH(T277,$S:$S,0)),"")</f>
        <v/>
      </c>
      <c r="W277" s="56">
        <f>IF(U277="","",IF(Q277&lt;&gt;U277,1,0))</f>
        <v/>
      </c>
      <c r="X277" s="56">
        <f>IF(V277="","",IF(R277&lt;V277,1,0))</f>
        <v/>
      </c>
      <c r="Y277" s="56">
        <f>IF(V277="","",IF(R277&gt;V277,1,0))</f>
        <v/>
      </c>
      <c r="Z277" s="56">
        <f>IF(Q277="Pass",1,0)</f>
        <v/>
      </c>
      <c r="AA277" s="50" t="n"/>
      <c r="AB277" s="50" t="n"/>
      <c r="AC277" s="49" t="n"/>
      <c r="AD277" s="50" t="n"/>
      <c r="AE277" s="49" t="n"/>
    </row>
    <row r="278" ht="15.75" customHeight="1" s="40">
      <c r="A278" s="48" t="n"/>
      <c r="B278" s="48" t="n"/>
      <c r="C278" s="47" t="n"/>
      <c r="D278" s="48" t="n"/>
      <c r="E278" s="48" t="n"/>
      <c r="F278" s="48" t="n"/>
      <c r="G278" s="47" t="n"/>
      <c r="H278" s="50" t="n"/>
      <c r="I278" s="50" t="n"/>
      <c r="J278" s="50" t="n"/>
      <c r="K278" s="50" t="n"/>
      <c r="L278" s="49" t="n"/>
      <c r="M278" s="49" t="n"/>
      <c r="N278" s="49" t="n"/>
      <c r="O278" s="49" t="n"/>
      <c r="P278" s="50" t="n"/>
      <c r="Q278" s="49" t="n"/>
      <c r="R278" s="56">
        <f>IF(Q278="","",IFERROR(VLOOKUP(Q278,Lookups!$A$2:$B$8,2,FALSE),""))</f>
        <v/>
      </c>
      <c r="S278" s="53">
        <f>IF(B278="","",B278&amp;"|"&amp;TEXT(C278,"00"))</f>
        <v/>
      </c>
      <c r="T278" s="53">
        <f>IF(B278="","",B278&amp;"|"&amp;TEXT(C278-1,"00"))</f>
        <v/>
      </c>
      <c r="U278" s="53">
        <f>IFERROR(INDEX($Q:$Q,MATCH(T278,$S:$S,0)),"")</f>
        <v/>
      </c>
      <c r="V278" s="56">
        <f>IFERROR(INDEX($R:$R,MATCH(T278,$S:$S,0)),"")</f>
        <v/>
      </c>
      <c r="W278" s="56">
        <f>IF(U278="","",IF(Q278&lt;&gt;U278,1,0))</f>
        <v/>
      </c>
      <c r="X278" s="56">
        <f>IF(V278="","",IF(R278&lt;V278,1,0))</f>
        <v/>
      </c>
      <c r="Y278" s="56">
        <f>IF(V278="","",IF(R278&gt;V278,1,0))</f>
        <v/>
      </c>
      <c r="Z278" s="56">
        <f>IF(Q278="Pass",1,0)</f>
        <v/>
      </c>
      <c r="AA278" s="50" t="n"/>
      <c r="AB278" s="50" t="n"/>
      <c r="AC278" s="49" t="n"/>
      <c r="AD278" s="50" t="n"/>
      <c r="AE278" s="49" t="n"/>
    </row>
    <row r="279" ht="15.75" customHeight="1" s="40">
      <c r="A279" s="48" t="n"/>
      <c r="B279" s="48" t="n"/>
      <c r="C279" s="47" t="n"/>
      <c r="D279" s="48" t="n"/>
      <c r="E279" s="48" t="n"/>
      <c r="F279" s="48" t="n"/>
      <c r="G279" s="47" t="n"/>
      <c r="H279" s="50" t="n"/>
      <c r="I279" s="50" t="n"/>
      <c r="J279" s="50" t="n"/>
      <c r="K279" s="50" t="n"/>
      <c r="L279" s="49" t="n"/>
      <c r="M279" s="49" t="n"/>
      <c r="N279" s="49" t="n"/>
      <c r="O279" s="49" t="n"/>
      <c r="P279" s="50" t="n"/>
      <c r="Q279" s="49" t="n"/>
      <c r="R279" s="56">
        <f>IF(Q279="","",IFERROR(VLOOKUP(Q279,Lookups!$A$2:$B$8,2,FALSE),""))</f>
        <v/>
      </c>
      <c r="S279" s="53">
        <f>IF(B279="","",B279&amp;"|"&amp;TEXT(C279,"00"))</f>
        <v/>
      </c>
      <c r="T279" s="53">
        <f>IF(B279="","",B279&amp;"|"&amp;TEXT(C279-1,"00"))</f>
        <v/>
      </c>
      <c r="U279" s="53">
        <f>IFERROR(INDEX($Q:$Q,MATCH(T279,$S:$S,0)),"")</f>
        <v/>
      </c>
      <c r="V279" s="56">
        <f>IFERROR(INDEX($R:$R,MATCH(T279,$S:$S,0)),"")</f>
        <v/>
      </c>
      <c r="W279" s="56">
        <f>IF(U279="","",IF(Q279&lt;&gt;U279,1,0))</f>
        <v/>
      </c>
      <c r="X279" s="56">
        <f>IF(V279="","",IF(R279&lt;V279,1,0))</f>
        <v/>
      </c>
      <c r="Y279" s="56">
        <f>IF(V279="","",IF(R279&gt;V279,1,0))</f>
        <v/>
      </c>
      <c r="Z279" s="56">
        <f>IF(Q279="Pass",1,0)</f>
        <v/>
      </c>
      <c r="AA279" s="50" t="n"/>
      <c r="AB279" s="50" t="n"/>
      <c r="AC279" s="49" t="n"/>
      <c r="AD279" s="50" t="n"/>
      <c r="AE279" s="49" t="n"/>
    </row>
    <row r="280" ht="15.75" customHeight="1" s="40">
      <c r="A280" s="48" t="n"/>
      <c r="B280" s="48" t="n"/>
      <c r="C280" s="47" t="n"/>
      <c r="D280" s="48" t="n"/>
      <c r="E280" s="48" t="n"/>
      <c r="F280" s="48" t="n"/>
      <c r="G280" s="47" t="n"/>
      <c r="H280" s="50" t="n"/>
      <c r="I280" s="50" t="n"/>
      <c r="J280" s="50" t="n"/>
      <c r="K280" s="50" t="n"/>
      <c r="L280" s="49" t="n"/>
      <c r="M280" s="49" t="n"/>
      <c r="N280" s="49" t="n"/>
      <c r="O280" s="49" t="n"/>
      <c r="P280" s="50" t="n"/>
      <c r="Q280" s="49" t="n"/>
      <c r="R280" s="56">
        <f>IF(Q280="","",IFERROR(VLOOKUP(Q280,Lookups!$A$2:$B$8,2,FALSE),""))</f>
        <v/>
      </c>
      <c r="S280" s="53">
        <f>IF(B280="","",B280&amp;"|"&amp;TEXT(C280,"00"))</f>
        <v/>
      </c>
      <c r="T280" s="53">
        <f>IF(B280="","",B280&amp;"|"&amp;TEXT(C280-1,"00"))</f>
        <v/>
      </c>
      <c r="U280" s="53">
        <f>IFERROR(INDEX($Q:$Q,MATCH(T280,$S:$S,0)),"")</f>
        <v/>
      </c>
      <c r="V280" s="56">
        <f>IFERROR(INDEX($R:$R,MATCH(T280,$S:$S,0)),"")</f>
        <v/>
      </c>
      <c r="W280" s="56">
        <f>IF(U280="","",IF(Q280&lt;&gt;U280,1,0))</f>
        <v/>
      </c>
      <c r="X280" s="56">
        <f>IF(V280="","",IF(R280&lt;V280,1,0))</f>
        <v/>
      </c>
      <c r="Y280" s="56">
        <f>IF(V280="","",IF(R280&gt;V280,1,0))</f>
        <v/>
      </c>
      <c r="Z280" s="56">
        <f>IF(Q280="Pass",1,0)</f>
        <v/>
      </c>
      <c r="AA280" s="50" t="n"/>
      <c r="AB280" s="50" t="n"/>
      <c r="AC280" s="49" t="n"/>
      <c r="AD280" s="50" t="n"/>
      <c r="AE280" s="49" t="n"/>
    </row>
    <row r="281" ht="15.75" customHeight="1" s="40">
      <c r="A281" s="48" t="n"/>
      <c r="B281" s="48" t="n"/>
      <c r="C281" s="47" t="n"/>
      <c r="D281" s="48" t="n"/>
      <c r="E281" s="48" t="n"/>
      <c r="F281" s="48" t="n"/>
      <c r="G281" s="47" t="n"/>
      <c r="H281" s="50" t="n"/>
      <c r="I281" s="50" t="n"/>
      <c r="J281" s="50" t="n"/>
      <c r="K281" s="50" t="n"/>
      <c r="L281" s="49" t="n"/>
      <c r="M281" s="49" t="n"/>
      <c r="N281" s="49" t="n"/>
      <c r="O281" s="49" t="n"/>
      <c r="P281" s="50" t="n"/>
      <c r="Q281" s="49" t="n"/>
      <c r="R281" s="56">
        <f>IF(Q281="","",IFERROR(VLOOKUP(Q281,Lookups!$A$2:$B$8,2,FALSE),""))</f>
        <v/>
      </c>
      <c r="S281" s="53">
        <f>IF(B281="","",B281&amp;"|"&amp;TEXT(C281,"00"))</f>
        <v/>
      </c>
      <c r="T281" s="53">
        <f>IF(B281="","",B281&amp;"|"&amp;TEXT(C281-1,"00"))</f>
        <v/>
      </c>
      <c r="U281" s="53">
        <f>IFERROR(INDEX($Q:$Q,MATCH(T281,$S:$S,0)),"")</f>
        <v/>
      </c>
      <c r="V281" s="56">
        <f>IFERROR(INDEX($R:$R,MATCH(T281,$S:$S,0)),"")</f>
        <v/>
      </c>
      <c r="W281" s="56">
        <f>IF(U281="","",IF(Q281&lt;&gt;U281,1,0))</f>
        <v/>
      </c>
      <c r="X281" s="56">
        <f>IF(V281="","",IF(R281&lt;V281,1,0))</f>
        <v/>
      </c>
      <c r="Y281" s="56">
        <f>IF(V281="","",IF(R281&gt;V281,1,0))</f>
        <v/>
      </c>
      <c r="Z281" s="56">
        <f>IF(Q281="Pass",1,0)</f>
        <v/>
      </c>
      <c r="AA281" s="50" t="n"/>
      <c r="AB281" s="50" t="n"/>
      <c r="AC281" s="49" t="n"/>
      <c r="AD281" s="50" t="n"/>
      <c r="AE281" s="49" t="n"/>
    </row>
    <row r="282" ht="15.75" customHeight="1" s="40">
      <c r="A282" s="48" t="n"/>
      <c r="B282" s="48" t="n"/>
      <c r="C282" s="47" t="n"/>
      <c r="D282" s="48" t="n"/>
      <c r="E282" s="48" t="n"/>
      <c r="F282" s="48" t="n"/>
      <c r="G282" s="47" t="n"/>
      <c r="H282" s="50" t="n"/>
      <c r="I282" s="50" t="n"/>
      <c r="J282" s="50" t="n"/>
      <c r="K282" s="50" t="n"/>
      <c r="L282" s="49" t="n"/>
      <c r="M282" s="49" t="n"/>
      <c r="N282" s="49" t="n"/>
      <c r="O282" s="49" t="n"/>
      <c r="P282" s="50" t="n"/>
      <c r="Q282" s="49" t="n"/>
      <c r="R282" s="56">
        <f>IF(Q282="","",IFERROR(VLOOKUP(Q282,Lookups!$A$2:$B$8,2,FALSE),""))</f>
        <v/>
      </c>
      <c r="S282" s="53">
        <f>IF(B282="","",B282&amp;"|"&amp;TEXT(C282,"00"))</f>
        <v/>
      </c>
      <c r="T282" s="53">
        <f>IF(B282="","",B282&amp;"|"&amp;TEXT(C282-1,"00"))</f>
        <v/>
      </c>
      <c r="U282" s="53">
        <f>IFERROR(INDEX($Q:$Q,MATCH(T282,$S:$S,0)),"")</f>
        <v/>
      </c>
      <c r="V282" s="56">
        <f>IFERROR(INDEX($R:$R,MATCH(T282,$S:$S,0)),"")</f>
        <v/>
      </c>
      <c r="W282" s="56">
        <f>IF(U282="","",IF(Q282&lt;&gt;U282,1,0))</f>
        <v/>
      </c>
      <c r="X282" s="56">
        <f>IF(V282="","",IF(R282&lt;V282,1,0))</f>
        <v/>
      </c>
      <c r="Y282" s="56">
        <f>IF(V282="","",IF(R282&gt;V282,1,0))</f>
        <v/>
      </c>
      <c r="Z282" s="56">
        <f>IF(Q282="Pass",1,0)</f>
        <v/>
      </c>
      <c r="AA282" s="50" t="n"/>
      <c r="AB282" s="50" t="n"/>
      <c r="AC282" s="49" t="n"/>
      <c r="AD282" s="50" t="n"/>
      <c r="AE282" s="49" t="n"/>
    </row>
    <row r="283" ht="15.75" customHeight="1" s="40">
      <c r="A283" s="48" t="n"/>
      <c r="B283" s="48" t="n"/>
      <c r="C283" s="47" t="n"/>
      <c r="D283" s="48" t="n"/>
      <c r="E283" s="48" t="n"/>
      <c r="F283" s="48" t="n"/>
      <c r="G283" s="47" t="n"/>
      <c r="H283" s="50" t="n"/>
      <c r="I283" s="50" t="n"/>
      <c r="J283" s="50" t="n"/>
      <c r="K283" s="50" t="n"/>
      <c r="L283" s="49" t="n"/>
      <c r="M283" s="49" t="n"/>
      <c r="N283" s="49" t="n"/>
      <c r="O283" s="49" t="n"/>
      <c r="P283" s="50" t="n"/>
      <c r="Q283" s="49" t="n"/>
      <c r="R283" s="56">
        <f>IF(Q283="","",IFERROR(VLOOKUP(Q283,Lookups!$A$2:$B$8,2,FALSE),""))</f>
        <v/>
      </c>
      <c r="S283" s="53">
        <f>IF(B283="","",B283&amp;"|"&amp;TEXT(C283,"00"))</f>
        <v/>
      </c>
      <c r="T283" s="53">
        <f>IF(B283="","",B283&amp;"|"&amp;TEXT(C283-1,"00"))</f>
        <v/>
      </c>
      <c r="U283" s="53">
        <f>IFERROR(INDEX($Q:$Q,MATCH(T283,$S:$S,0)),"")</f>
        <v/>
      </c>
      <c r="V283" s="56">
        <f>IFERROR(INDEX($R:$R,MATCH(T283,$S:$S,0)),"")</f>
        <v/>
      </c>
      <c r="W283" s="56">
        <f>IF(U283="","",IF(Q283&lt;&gt;U283,1,0))</f>
        <v/>
      </c>
      <c r="X283" s="56">
        <f>IF(V283="","",IF(R283&lt;V283,1,0))</f>
        <v/>
      </c>
      <c r="Y283" s="56">
        <f>IF(V283="","",IF(R283&gt;V283,1,0))</f>
        <v/>
      </c>
      <c r="Z283" s="56">
        <f>IF(Q283="Pass",1,0)</f>
        <v/>
      </c>
      <c r="AA283" s="50" t="n"/>
      <c r="AB283" s="50" t="n"/>
      <c r="AC283" s="49" t="n"/>
      <c r="AD283" s="50" t="n"/>
      <c r="AE283" s="49" t="n"/>
    </row>
    <row r="284" ht="15.75" customHeight="1" s="40">
      <c r="A284" s="48" t="n"/>
      <c r="B284" s="48" t="n"/>
      <c r="C284" s="47" t="n"/>
      <c r="D284" s="48" t="n"/>
      <c r="E284" s="48" t="n"/>
      <c r="F284" s="48" t="n"/>
      <c r="G284" s="47" t="n"/>
      <c r="H284" s="50" t="n"/>
      <c r="I284" s="50" t="n"/>
      <c r="J284" s="50" t="n"/>
      <c r="K284" s="50" t="n"/>
      <c r="L284" s="49" t="n"/>
      <c r="M284" s="49" t="n"/>
      <c r="N284" s="49" t="n"/>
      <c r="O284" s="49" t="n"/>
      <c r="P284" s="50" t="n"/>
      <c r="Q284" s="49" t="n"/>
      <c r="R284" s="56">
        <f>IF(Q284="","",IFERROR(VLOOKUP(Q284,Lookups!$A$2:$B$8,2,FALSE),""))</f>
        <v/>
      </c>
      <c r="S284" s="53">
        <f>IF(B284="","",B284&amp;"|"&amp;TEXT(C284,"00"))</f>
        <v/>
      </c>
      <c r="T284" s="53">
        <f>IF(B284="","",B284&amp;"|"&amp;TEXT(C284-1,"00"))</f>
        <v/>
      </c>
      <c r="U284" s="53">
        <f>IFERROR(INDEX($Q:$Q,MATCH(T284,$S:$S,0)),"")</f>
        <v/>
      </c>
      <c r="V284" s="56">
        <f>IFERROR(INDEX($R:$R,MATCH(T284,$S:$S,0)),"")</f>
        <v/>
      </c>
      <c r="W284" s="56">
        <f>IF(U284="","",IF(Q284&lt;&gt;U284,1,0))</f>
        <v/>
      </c>
      <c r="X284" s="56">
        <f>IF(V284="","",IF(R284&lt;V284,1,0))</f>
        <v/>
      </c>
      <c r="Y284" s="56">
        <f>IF(V284="","",IF(R284&gt;V284,1,0))</f>
        <v/>
      </c>
      <c r="Z284" s="56">
        <f>IF(Q284="Pass",1,0)</f>
        <v/>
      </c>
      <c r="AA284" s="50" t="n"/>
      <c r="AB284" s="50" t="n"/>
      <c r="AC284" s="49" t="n"/>
      <c r="AD284" s="50" t="n"/>
      <c r="AE284" s="49" t="n"/>
    </row>
    <row r="285" ht="15.75" customHeight="1" s="40">
      <c r="A285" s="48" t="n"/>
      <c r="B285" s="48" t="n"/>
      <c r="C285" s="47" t="n"/>
      <c r="D285" s="48" t="n"/>
      <c r="E285" s="48" t="n"/>
      <c r="F285" s="48" t="n"/>
      <c r="G285" s="47" t="n"/>
      <c r="H285" s="50" t="n"/>
      <c r="I285" s="50" t="n"/>
      <c r="J285" s="50" t="n"/>
      <c r="K285" s="50" t="n"/>
      <c r="L285" s="49" t="n"/>
      <c r="M285" s="49" t="n"/>
      <c r="N285" s="49" t="n"/>
      <c r="O285" s="49" t="n"/>
      <c r="P285" s="50" t="n"/>
      <c r="Q285" s="49" t="n"/>
      <c r="R285" s="56">
        <f>IF(Q285="","",IFERROR(VLOOKUP(Q285,Lookups!$A$2:$B$8,2,FALSE),""))</f>
        <v/>
      </c>
      <c r="S285" s="53">
        <f>IF(B285="","",B285&amp;"|"&amp;TEXT(C285,"00"))</f>
        <v/>
      </c>
      <c r="T285" s="53">
        <f>IF(B285="","",B285&amp;"|"&amp;TEXT(C285-1,"00"))</f>
        <v/>
      </c>
      <c r="U285" s="53">
        <f>IFERROR(INDEX($Q:$Q,MATCH(T285,$S:$S,0)),"")</f>
        <v/>
      </c>
      <c r="V285" s="56">
        <f>IFERROR(INDEX($R:$R,MATCH(T285,$S:$S,0)),"")</f>
        <v/>
      </c>
      <c r="W285" s="56">
        <f>IF(U285="","",IF(Q285&lt;&gt;U285,1,0))</f>
        <v/>
      </c>
      <c r="X285" s="56">
        <f>IF(V285="","",IF(R285&lt;V285,1,0))</f>
        <v/>
      </c>
      <c r="Y285" s="56">
        <f>IF(V285="","",IF(R285&gt;V285,1,0))</f>
        <v/>
      </c>
      <c r="Z285" s="56">
        <f>IF(Q285="Pass",1,0)</f>
        <v/>
      </c>
      <c r="AA285" s="50" t="n"/>
      <c r="AB285" s="50" t="n"/>
      <c r="AC285" s="49" t="n"/>
      <c r="AD285" s="50" t="n"/>
      <c r="AE285" s="49" t="n"/>
    </row>
    <row r="286" ht="15.75" customHeight="1" s="40">
      <c r="A286" s="48" t="n"/>
      <c r="B286" s="48" t="n"/>
      <c r="C286" s="47" t="n"/>
      <c r="D286" s="48" t="n"/>
      <c r="E286" s="48" t="n"/>
      <c r="F286" s="48" t="n"/>
      <c r="G286" s="47" t="n"/>
      <c r="H286" s="50" t="n"/>
      <c r="I286" s="50" t="n"/>
      <c r="J286" s="50" t="n"/>
      <c r="K286" s="50" t="n"/>
      <c r="L286" s="49" t="n"/>
      <c r="M286" s="49" t="n"/>
      <c r="N286" s="49" t="n"/>
      <c r="O286" s="49" t="n"/>
      <c r="P286" s="50" t="n"/>
      <c r="Q286" s="49" t="n"/>
      <c r="R286" s="56">
        <f>IF(Q286="","",IFERROR(VLOOKUP(Q286,Lookups!$A$2:$B$8,2,FALSE),""))</f>
        <v/>
      </c>
      <c r="S286" s="53">
        <f>IF(B286="","",B286&amp;"|"&amp;TEXT(C286,"00"))</f>
        <v/>
      </c>
      <c r="T286" s="53">
        <f>IF(B286="","",B286&amp;"|"&amp;TEXT(C286-1,"00"))</f>
        <v/>
      </c>
      <c r="U286" s="53">
        <f>IFERROR(INDEX($Q:$Q,MATCH(T286,$S:$S,0)),"")</f>
        <v/>
      </c>
      <c r="V286" s="56">
        <f>IFERROR(INDEX($R:$R,MATCH(T286,$S:$S,0)),"")</f>
        <v/>
      </c>
      <c r="W286" s="56">
        <f>IF(U286="","",IF(Q286&lt;&gt;U286,1,0))</f>
        <v/>
      </c>
      <c r="X286" s="56">
        <f>IF(V286="","",IF(R286&lt;V286,1,0))</f>
        <v/>
      </c>
      <c r="Y286" s="56">
        <f>IF(V286="","",IF(R286&gt;V286,1,0))</f>
        <v/>
      </c>
      <c r="Z286" s="56">
        <f>IF(Q286="Pass",1,0)</f>
        <v/>
      </c>
      <c r="AA286" s="50" t="n"/>
      <c r="AB286" s="50" t="n"/>
      <c r="AC286" s="49" t="n"/>
      <c r="AD286" s="50" t="n"/>
      <c r="AE286" s="49" t="n"/>
    </row>
    <row r="287" ht="15.75" customHeight="1" s="40">
      <c r="A287" s="48" t="n"/>
      <c r="B287" s="48" t="n"/>
      <c r="C287" s="47" t="n"/>
      <c r="D287" s="48" t="n"/>
      <c r="E287" s="48" t="n"/>
      <c r="F287" s="48" t="n"/>
      <c r="G287" s="47" t="n"/>
      <c r="H287" s="50" t="n"/>
      <c r="I287" s="50" t="n"/>
      <c r="J287" s="50" t="n"/>
      <c r="K287" s="50" t="n"/>
      <c r="L287" s="49" t="n"/>
      <c r="M287" s="49" t="n"/>
      <c r="N287" s="49" t="n"/>
      <c r="O287" s="49" t="n"/>
      <c r="P287" s="50" t="n"/>
      <c r="Q287" s="49" t="n"/>
      <c r="R287" s="56">
        <f>IF(Q287="","",IFERROR(VLOOKUP(Q287,Lookups!$A$2:$B$8,2,FALSE),""))</f>
        <v/>
      </c>
      <c r="S287" s="53">
        <f>IF(B287="","",B287&amp;"|"&amp;TEXT(C287,"00"))</f>
        <v/>
      </c>
      <c r="T287" s="53">
        <f>IF(B287="","",B287&amp;"|"&amp;TEXT(C287-1,"00"))</f>
        <v/>
      </c>
      <c r="U287" s="53">
        <f>IFERROR(INDEX($Q:$Q,MATCH(T287,$S:$S,0)),"")</f>
        <v/>
      </c>
      <c r="V287" s="56">
        <f>IFERROR(INDEX($R:$R,MATCH(T287,$S:$S,0)),"")</f>
        <v/>
      </c>
      <c r="W287" s="56">
        <f>IF(U287="","",IF(Q287&lt;&gt;U287,1,0))</f>
        <v/>
      </c>
      <c r="X287" s="56">
        <f>IF(V287="","",IF(R287&lt;V287,1,0))</f>
        <v/>
      </c>
      <c r="Y287" s="56">
        <f>IF(V287="","",IF(R287&gt;V287,1,0))</f>
        <v/>
      </c>
      <c r="Z287" s="56">
        <f>IF(Q287="Pass",1,0)</f>
        <v/>
      </c>
      <c r="AA287" s="50" t="n"/>
      <c r="AB287" s="50" t="n"/>
      <c r="AC287" s="49" t="n"/>
      <c r="AD287" s="50" t="n"/>
      <c r="AE287" s="49" t="n"/>
    </row>
    <row r="288" ht="15.75" customHeight="1" s="40">
      <c r="A288" s="48" t="n"/>
      <c r="B288" s="48" t="n"/>
      <c r="C288" s="47" t="n"/>
      <c r="D288" s="48" t="n"/>
      <c r="E288" s="48" t="n"/>
      <c r="F288" s="48" t="n"/>
      <c r="G288" s="47" t="n"/>
      <c r="H288" s="50" t="n"/>
      <c r="I288" s="50" t="n"/>
      <c r="J288" s="50" t="n"/>
      <c r="K288" s="50" t="n"/>
      <c r="L288" s="49" t="n"/>
      <c r="M288" s="49" t="n"/>
      <c r="N288" s="49" t="n"/>
      <c r="O288" s="49" t="n"/>
      <c r="P288" s="50" t="n"/>
      <c r="Q288" s="49" t="n"/>
      <c r="R288" s="56">
        <f>IF(Q288="","",IFERROR(VLOOKUP(Q288,Lookups!$A$2:$B$8,2,FALSE),""))</f>
        <v/>
      </c>
      <c r="S288" s="53">
        <f>IF(B288="","",B288&amp;"|"&amp;TEXT(C288,"00"))</f>
        <v/>
      </c>
      <c r="T288" s="53">
        <f>IF(B288="","",B288&amp;"|"&amp;TEXT(C288-1,"00"))</f>
        <v/>
      </c>
      <c r="U288" s="53">
        <f>IFERROR(INDEX($Q:$Q,MATCH(T288,$S:$S,0)),"")</f>
        <v/>
      </c>
      <c r="V288" s="56">
        <f>IFERROR(INDEX($R:$R,MATCH(T288,$S:$S,0)),"")</f>
        <v/>
      </c>
      <c r="W288" s="56">
        <f>IF(U288="","",IF(Q288&lt;&gt;U288,1,0))</f>
        <v/>
      </c>
      <c r="X288" s="56">
        <f>IF(V288="","",IF(R288&lt;V288,1,0))</f>
        <v/>
      </c>
      <c r="Y288" s="56">
        <f>IF(V288="","",IF(R288&gt;V288,1,0))</f>
        <v/>
      </c>
      <c r="Z288" s="56">
        <f>IF(Q288="Pass",1,0)</f>
        <v/>
      </c>
      <c r="AA288" s="50" t="n"/>
      <c r="AB288" s="50" t="n"/>
      <c r="AC288" s="49" t="n"/>
      <c r="AD288" s="50" t="n"/>
      <c r="AE288" s="49" t="n"/>
    </row>
    <row r="289" ht="15.75" customHeight="1" s="40">
      <c r="A289" s="48" t="n"/>
      <c r="B289" s="48" t="n"/>
      <c r="C289" s="47" t="n"/>
      <c r="D289" s="48" t="n"/>
      <c r="E289" s="48" t="n"/>
      <c r="F289" s="48" t="n"/>
      <c r="G289" s="47" t="n"/>
      <c r="H289" s="50" t="n"/>
      <c r="I289" s="50" t="n"/>
      <c r="J289" s="50" t="n"/>
      <c r="K289" s="50" t="n"/>
      <c r="L289" s="49" t="n"/>
      <c r="M289" s="49" t="n"/>
      <c r="N289" s="49" t="n"/>
      <c r="O289" s="49" t="n"/>
      <c r="P289" s="50" t="n"/>
      <c r="Q289" s="49" t="n"/>
      <c r="R289" s="56">
        <f>IF(Q289="","",IFERROR(VLOOKUP(Q289,Lookups!$A$2:$B$8,2,FALSE),""))</f>
        <v/>
      </c>
      <c r="S289" s="53">
        <f>IF(B289="","",B289&amp;"|"&amp;TEXT(C289,"00"))</f>
        <v/>
      </c>
      <c r="T289" s="53">
        <f>IF(B289="","",B289&amp;"|"&amp;TEXT(C289-1,"00"))</f>
        <v/>
      </c>
      <c r="U289" s="53">
        <f>IFERROR(INDEX($Q:$Q,MATCH(T289,$S:$S,0)),"")</f>
        <v/>
      </c>
      <c r="V289" s="56">
        <f>IFERROR(INDEX($R:$R,MATCH(T289,$S:$S,0)),"")</f>
        <v/>
      </c>
      <c r="W289" s="56">
        <f>IF(U289="","",IF(Q289&lt;&gt;U289,1,0))</f>
        <v/>
      </c>
      <c r="X289" s="56">
        <f>IF(V289="","",IF(R289&lt;V289,1,0))</f>
        <v/>
      </c>
      <c r="Y289" s="56">
        <f>IF(V289="","",IF(R289&gt;V289,1,0))</f>
        <v/>
      </c>
      <c r="Z289" s="56">
        <f>IF(Q289="Pass",1,0)</f>
        <v/>
      </c>
      <c r="AA289" s="50" t="n"/>
      <c r="AB289" s="50" t="n"/>
      <c r="AC289" s="49" t="n"/>
      <c r="AD289" s="50" t="n"/>
      <c r="AE289" s="49" t="n"/>
    </row>
    <row r="290" ht="15.75" customHeight="1" s="40">
      <c r="A290" s="48" t="n"/>
      <c r="B290" s="48" t="n"/>
      <c r="C290" s="47" t="n"/>
      <c r="D290" s="48" t="n"/>
      <c r="E290" s="48" t="n"/>
      <c r="F290" s="48" t="n"/>
      <c r="G290" s="47" t="n"/>
      <c r="H290" s="50" t="n"/>
      <c r="I290" s="50" t="n"/>
      <c r="J290" s="50" t="n"/>
      <c r="K290" s="50" t="n"/>
      <c r="L290" s="49" t="n"/>
      <c r="M290" s="49" t="n"/>
      <c r="N290" s="49" t="n"/>
      <c r="O290" s="49" t="n"/>
      <c r="P290" s="50" t="n"/>
      <c r="Q290" s="49" t="n"/>
      <c r="R290" s="56">
        <f>IF(Q290="","",IFERROR(VLOOKUP(Q290,Lookups!$A$2:$B$8,2,FALSE),""))</f>
        <v/>
      </c>
      <c r="S290" s="53">
        <f>IF(B290="","",B290&amp;"|"&amp;TEXT(C290,"00"))</f>
        <v/>
      </c>
      <c r="T290" s="53">
        <f>IF(B290="","",B290&amp;"|"&amp;TEXT(C290-1,"00"))</f>
        <v/>
      </c>
      <c r="U290" s="53">
        <f>IFERROR(INDEX($Q:$Q,MATCH(T290,$S:$S,0)),"")</f>
        <v/>
      </c>
      <c r="V290" s="56">
        <f>IFERROR(INDEX($R:$R,MATCH(T290,$S:$S,0)),"")</f>
        <v/>
      </c>
      <c r="W290" s="56">
        <f>IF(U290="","",IF(Q290&lt;&gt;U290,1,0))</f>
        <v/>
      </c>
      <c r="X290" s="56">
        <f>IF(V290="","",IF(R290&lt;V290,1,0))</f>
        <v/>
      </c>
      <c r="Y290" s="56">
        <f>IF(V290="","",IF(R290&gt;V290,1,0))</f>
        <v/>
      </c>
      <c r="Z290" s="56">
        <f>IF(Q290="Pass",1,0)</f>
        <v/>
      </c>
      <c r="AA290" s="50" t="n"/>
      <c r="AB290" s="50" t="n"/>
      <c r="AC290" s="49" t="n"/>
      <c r="AD290" s="50" t="n"/>
      <c r="AE290" s="49" t="n"/>
    </row>
    <row r="291" ht="15.75" customHeight="1" s="40">
      <c r="A291" s="48" t="n"/>
      <c r="B291" s="48" t="n"/>
      <c r="C291" s="47" t="n"/>
      <c r="D291" s="48" t="n"/>
      <c r="E291" s="48" t="n"/>
      <c r="F291" s="48" t="n"/>
      <c r="G291" s="47" t="n"/>
      <c r="H291" s="50" t="n"/>
      <c r="I291" s="50" t="n"/>
      <c r="J291" s="50" t="n"/>
      <c r="K291" s="50" t="n"/>
      <c r="L291" s="49" t="n"/>
      <c r="M291" s="49" t="n"/>
      <c r="N291" s="49" t="n"/>
      <c r="O291" s="49" t="n"/>
      <c r="P291" s="50" t="n"/>
      <c r="Q291" s="49" t="n"/>
      <c r="R291" s="56">
        <f>IF(Q291="","",IFERROR(VLOOKUP(Q291,Lookups!$A$2:$B$8,2,FALSE),""))</f>
        <v/>
      </c>
      <c r="S291" s="53">
        <f>IF(B291="","",B291&amp;"|"&amp;TEXT(C291,"00"))</f>
        <v/>
      </c>
      <c r="T291" s="53">
        <f>IF(B291="","",B291&amp;"|"&amp;TEXT(C291-1,"00"))</f>
        <v/>
      </c>
      <c r="U291" s="53">
        <f>IFERROR(INDEX($Q:$Q,MATCH(T291,$S:$S,0)),"")</f>
        <v/>
      </c>
      <c r="V291" s="56">
        <f>IFERROR(INDEX($R:$R,MATCH(T291,$S:$S,0)),"")</f>
        <v/>
      </c>
      <c r="W291" s="56">
        <f>IF(U291="","",IF(Q291&lt;&gt;U291,1,0))</f>
        <v/>
      </c>
      <c r="X291" s="56">
        <f>IF(V291="","",IF(R291&lt;V291,1,0))</f>
        <v/>
      </c>
      <c r="Y291" s="56">
        <f>IF(V291="","",IF(R291&gt;V291,1,0))</f>
        <v/>
      </c>
      <c r="Z291" s="56">
        <f>IF(Q291="Pass",1,0)</f>
        <v/>
      </c>
      <c r="AA291" s="50" t="n"/>
      <c r="AB291" s="50" t="n"/>
      <c r="AC291" s="49" t="n"/>
      <c r="AD291" s="50" t="n"/>
      <c r="AE291" s="49" t="n"/>
    </row>
    <row r="292" ht="15.75" customHeight="1" s="40">
      <c r="A292" s="48" t="n"/>
      <c r="B292" s="48" t="n"/>
      <c r="C292" s="47" t="n"/>
      <c r="D292" s="48" t="n"/>
      <c r="E292" s="48" t="n"/>
      <c r="F292" s="48" t="n"/>
      <c r="G292" s="47" t="n"/>
      <c r="H292" s="50" t="n"/>
      <c r="I292" s="50" t="n"/>
      <c r="J292" s="50" t="n"/>
      <c r="K292" s="50" t="n"/>
      <c r="L292" s="49" t="n"/>
      <c r="M292" s="49" t="n"/>
      <c r="N292" s="49" t="n"/>
      <c r="O292" s="49" t="n"/>
      <c r="P292" s="50" t="n"/>
      <c r="Q292" s="49" t="n"/>
      <c r="R292" s="56">
        <f>IF(Q292="","",IFERROR(VLOOKUP(Q292,Lookups!$A$2:$B$8,2,FALSE),""))</f>
        <v/>
      </c>
      <c r="S292" s="53">
        <f>IF(B292="","",B292&amp;"|"&amp;TEXT(C292,"00"))</f>
        <v/>
      </c>
      <c r="T292" s="53">
        <f>IF(B292="","",B292&amp;"|"&amp;TEXT(C292-1,"00"))</f>
        <v/>
      </c>
      <c r="U292" s="53">
        <f>IFERROR(INDEX($Q:$Q,MATCH(T292,$S:$S,0)),"")</f>
        <v/>
      </c>
      <c r="V292" s="56">
        <f>IFERROR(INDEX($R:$R,MATCH(T292,$S:$S,0)),"")</f>
        <v/>
      </c>
      <c r="W292" s="56">
        <f>IF(U292="","",IF(Q292&lt;&gt;U292,1,0))</f>
        <v/>
      </c>
      <c r="X292" s="56">
        <f>IF(V292="","",IF(R292&lt;V292,1,0))</f>
        <v/>
      </c>
      <c r="Y292" s="56">
        <f>IF(V292="","",IF(R292&gt;V292,1,0))</f>
        <v/>
      </c>
      <c r="Z292" s="56">
        <f>IF(Q292="Pass",1,0)</f>
        <v/>
      </c>
      <c r="AA292" s="50" t="n"/>
      <c r="AB292" s="50" t="n"/>
      <c r="AC292" s="49" t="n"/>
      <c r="AD292" s="50" t="n"/>
      <c r="AE292" s="49" t="n"/>
    </row>
    <row r="293" ht="15.75" customHeight="1" s="40">
      <c r="A293" s="48" t="n"/>
      <c r="B293" s="48" t="n"/>
      <c r="C293" s="47" t="n"/>
      <c r="D293" s="48" t="n"/>
      <c r="E293" s="48" t="n"/>
      <c r="F293" s="48" t="n"/>
      <c r="G293" s="47" t="n"/>
      <c r="H293" s="50" t="n"/>
      <c r="I293" s="50" t="n"/>
      <c r="J293" s="50" t="n"/>
      <c r="K293" s="50" t="n"/>
      <c r="L293" s="49" t="n"/>
      <c r="M293" s="49" t="n"/>
      <c r="N293" s="49" t="n"/>
      <c r="O293" s="49" t="n"/>
      <c r="P293" s="50" t="n"/>
      <c r="Q293" s="49" t="n"/>
      <c r="R293" s="56">
        <f>IF(Q293="","",IFERROR(VLOOKUP(Q293,Lookups!$A$2:$B$8,2,FALSE),""))</f>
        <v/>
      </c>
      <c r="S293" s="53">
        <f>IF(B293="","",B293&amp;"|"&amp;TEXT(C293,"00"))</f>
        <v/>
      </c>
      <c r="T293" s="53">
        <f>IF(B293="","",B293&amp;"|"&amp;TEXT(C293-1,"00"))</f>
        <v/>
      </c>
      <c r="U293" s="53">
        <f>IFERROR(INDEX($Q:$Q,MATCH(T293,$S:$S,0)),"")</f>
        <v/>
      </c>
      <c r="V293" s="56">
        <f>IFERROR(INDEX($R:$R,MATCH(T293,$S:$S,0)),"")</f>
        <v/>
      </c>
      <c r="W293" s="56">
        <f>IF(U293="","",IF(Q293&lt;&gt;U293,1,0))</f>
        <v/>
      </c>
      <c r="X293" s="56">
        <f>IF(V293="","",IF(R293&lt;V293,1,0))</f>
        <v/>
      </c>
      <c r="Y293" s="56">
        <f>IF(V293="","",IF(R293&gt;V293,1,0))</f>
        <v/>
      </c>
      <c r="Z293" s="56">
        <f>IF(Q293="Pass",1,0)</f>
        <v/>
      </c>
      <c r="AA293" s="50" t="n"/>
      <c r="AB293" s="50" t="n"/>
      <c r="AC293" s="49" t="n"/>
      <c r="AD293" s="50" t="n"/>
      <c r="AE293" s="49" t="n"/>
    </row>
    <row r="294" ht="15.75" customHeight="1" s="40">
      <c r="A294" s="48" t="n"/>
      <c r="B294" s="48" t="n"/>
      <c r="C294" s="47" t="n"/>
      <c r="D294" s="48" t="n"/>
      <c r="E294" s="48" t="n"/>
      <c r="F294" s="48" t="n"/>
      <c r="G294" s="47" t="n"/>
      <c r="H294" s="50" t="n"/>
      <c r="I294" s="50" t="n"/>
      <c r="J294" s="50" t="n"/>
      <c r="K294" s="50" t="n"/>
      <c r="L294" s="49" t="n"/>
      <c r="M294" s="49" t="n"/>
      <c r="N294" s="49" t="n"/>
      <c r="O294" s="49" t="n"/>
      <c r="P294" s="50" t="n"/>
      <c r="Q294" s="49" t="n"/>
      <c r="R294" s="56">
        <f>IF(Q294="","",IFERROR(VLOOKUP(Q294,Lookups!$A$2:$B$8,2,FALSE),""))</f>
        <v/>
      </c>
      <c r="S294" s="53">
        <f>IF(B294="","",B294&amp;"|"&amp;TEXT(C294,"00"))</f>
        <v/>
      </c>
      <c r="T294" s="53">
        <f>IF(B294="","",B294&amp;"|"&amp;TEXT(C294-1,"00"))</f>
        <v/>
      </c>
      <c r="U294" s="53">
        <f>IFERROR(INDEX($Q:$Q,MATCH(T294,$S:$S,0)),"")</f>
        <v/>
      </c>
      <c r="V294" s="56">
        <f>IFERROR(INDEX($R:$R,MATCH(T294,$S:$S,0)),"")</f>
        <v/>
      </c>
      <c r="W294" s="56">
        <f>IF(U294="","",IF(Q294&lt;&gt;U294,1,0))</f>
        <v/>
      </c>
      <c r="X294" s="56">
        <f>IF(V294="","",IF(R294&lt;V294,1,0))</f>
        <v/>
      </c>
      <c r="Y294" s="56">
        <f>IF(V294="","",IF(R294&gt;V294,1,0))</f>
        <v/>
      </c>
      <c r="Z294" s="56">
        <f>IF(Q294="Pass",1,0)</f>
        <v/>
      </c>
      <c r="AA294" s="50" t="n"/>
      <c r="AB294" s="50" t="n"/>
      <c r="AC294" s="49" t="n"/>
      <c r="AD294" s="50" t="n"/>
      <c r="AE294" s="49" t="n"/>
    </row>
    <row r="295" ht="15.75" customHeight="1" s="40">
      <c r="A295" s="48" t="n"/>
      <c r="B295" s="48" t="n"/>
      <c r="C295" s="47" t="n"/>
      <c r="D295" s="48" t="n"/>
      <c r="E295" s="48" t="n"/>
      <c r="F295" s="48" t="n"/>
      <c r="G295" s="47" t="n"/>
      <c r="H295" s="50" t="n"/>
      <c r="I295" s="50" t="n"/>
      <c r="J295" s="50" t="n"/>
      <c r="K295" s="50" t="n"/>
      <c r="L295" s="49" t="n"/>
      <c r="M295" s="49" t="n"/>
      <c r="N295" s="49" t="n"/>
      <c r="O295" s="49" t="n"/>
      <c r="P295" s="50" t="n"/>
      <c r="Q295" s="49" t="n"/>
      <c r="R295" s="56">
        <f>IF(Q295="","",IFERROR(VLOOKUP(Q295,Lookups!$A$2:$B$8,2,FALSE),""))</f>
        <v/>
      </c>
      <c r="S295" s="53">
        <f>IF(B295="","",B295&amp;"|"&amp;TEXT(C295,"00"))</f>
        <v/>
      </c>
      <c r="T295" s="53">
        <f>IF(B295="","",B295&amp;"|"&amp;TEXT(C295-1,"00"))</f>
        <v/>
      </c>
      <c r="U295" s="53">
        <f>IFERROR(INDEX($Q:$Q,MATCH(T295,$S:$S,0)),"")</f>
        <v/>
      </c>
      <c r="V295" s="56">
        <f>IFERROR(INDEX($R:$R,MATCH(T295,$S:$S,0)),"")</f>
        <v/>
      </c>
      <c r="W295" s="56">
        <f>IF(U295="","",IF(Q295&lt;&gt;U295,1,0))</f>
        <v/>
      </c>
      <c r="X295" s="56">
        <f>IF(V295="","",IF(R295&lt;V295,1,0))</f>
        <v/>
      </c>
      <c r="Y295" s="56">
        <f>IF(V295="","",IF(R295&gt;V295,1,0))</f>
        <v/>
      </c>
      <c r="Z295" s="56">
        <f>IF(Q295="Pass",1,0)</f>
        <v/>
      </c>
      <c r="AA295" s="50" t="n"/>
      <c r="AB295" s="50" t="n"/>
      <c r="AC295" s="49" t="n"/>
      <c r="AD295" s="50" t="n"/>
      <c r="AE295" s="49" t="n"/>
    </row>
    <row r="296" ht="15.75" customHeight="1" s="40">
      <c r="A296" s="48" t="n"/>
      <c r="B296" s="48" t="n"/>
      <c r="C296" s="47" t="n"/>
      <c r="D296" s="48" t="n"/>
      <c r="E296" s="48" t="n"/>
      <c r="F296" s="48" t="n"/>
      <c r="G296" s="47" t="n"/>
      <c r="H296" s="50" t="n"/>
      <c r="I296" s="50" t="n"/>
      <c r="J296" s="50" t="n"/>
      <c r="K296" s="50" t="n"/>
      <c r="L296" s="49" t="n"/>
      <c r="M296" s="49" t="n"/>
      <c r="N296" s="49" t="n"/>
      <c r="O296" s="49" t="n"/>
      <c r="P296" s="50" t="n"/>
      <c r="Q296" s="49" t="n"/>
      <c r="R296" s="56">
        <f>IF(Q296="","",IFERROR(VLOOKUP(Q296,Lookups!$A$2:$B$8,2,FALSE),""))</f>
        <v/>
      </c>
      <c r="S296" s="53">
        <f>IF(B296="","",B296&amp;"|"&amp;TEXT(C296,"00"))</f>
        <v/>
      </c>
      <c r="T296" s="53">
        <f>IF(B296="","",B296&amp;"|"&amp;TEXT(C296-1,"00"))</f>
        <v/>
      </c>
      <c r="U296" s="53">
        <f>IFERROR(INDEX($Q:$Q,MATCH(T296,$S:$S,0)),"")</f>
        <v/>
      </c>
      <c r="V296" s="56">
        <f>IFERROR(INDEX($R:$R,MATCH(T296,$S:$S,0)),"")</f>
        <v/>
      </c>
      <c r="W296" s="56">
        <f>IF(U296="","",IF(Q296&lt;&gt;U296,1,0))</f>
        <v/>
      </c>
      <c r="X296" s="56">
        <f>IF(V296="","",IF(R296&lt;V296,1,0))</f>
        <v/>
      </c>
      <c r="Y296" s="56">
        <f>IF(V296="","",IF(R296&gt;V296,1,0))</f>
        <v/>
      </c>
      <c r="Z296" s="56">
        <f>IF(Q296="Pass",1,0)</f>
        <v/>
      </c>
      <c r="AA296" s="50" t="n"/>
      <c r="AB296" s="50" t="n"/>
      <c r="AC296" s="49" t="n"/>
      <c r="AD296" s="50" t="n"/>
      <c r="AE296" s="49" t="n"/>
    </row>
    <row r="297" ht="15.75" customHeight="1" s="40">
      <c r="A297" s="48" t="n"/>
      <c r="B297" s="48" t="n"/>
      <c r="C297" s="47" t="n"/>
      <c r="D297" s="48" t="n"/>
      <c r="E297" s="48" t="n"/>
      <c r="F297" s="48" t="n"/>
      <c r="G297" s="47" t="n"/>
      <c r="H297" s="50" t="n"/>
      <c r="I297" s="50" t="n"/>
      <c r="J297" s="50" t="n"/>
      <c r="K297" s="50" t="n"/>
      <c r="L297" s="49" t="n"/>
      <c r="M297" s="49" t="n"/>
      <c r="N297" s="49" t="n"/>
      <c r="O297" s="49" t="n"/>
      <c r="P297" s="50" t="n"/>
      <c r="Q297" s="49" t="n"/>
      <c r="R297" s="56">
        <f>IF(Q297="","",IFERROR(VLOOKUP(Q297,Lookups!$A$2:$B$8,2,FALSE),""))</f>
        <v/>
      </c>
      <c r="S297" s="53">
        <f>IF(B297="","",B297&amp;"|"&amp;TEXT(C297,"00"))</f>
        <v/>
      </c>
      <c r="T297" s="53">
        <f>IF(B297="","",B297&amp;"|"&amp;TEXT(C297-1,"00"))</f>
        <v/>
      </c>
      <c r="U297" s="53">
        <f>IFERROR(INDEX($Q:$Q,MATCH(T297,$S:$S,0)),"")</f>
        <v/>
      </c>
      <c r="V297" s="56">
        <f>IFERROR(INDEX($R:$R,MATCH(T297,$S:$S,0)),"")</f>
        <v/>
      </c>
      <c r="W297" s="56">
        <f>IF(U297="","",IF(Q297&lt;&gt;U297,1,0))</f>
        <v/>
      </c>
      <c r="X297" s="56">
        <f>IF(V297="","",IF(R297&lt;V297,1,0))</f>
        <v/>
      </c>
      <c r="Y297" s="56">
        <f>IF(V297="","",IF(R297&gt;V297,1,0))</f>
        <v/>
      </c>
      <c r="Z297" s="56">
        <f>IF(Q297="Pass",1,0)</f>
        <v/>
      </c>
      <c r="AA297" s="50" t="n"/>
      <c r="AB297" s="50" t="n"/>
      <c r="AC297" s="49" t="n"/>
      <c r="AD297" s="50" t="n"/>
      <c r="AE297" s="49" t="n"/>
    </row>
    <row r="298" ht="15.75" customHeight="1" s="40">
      <c r="A298" s="48" t="n"/>
      <c r="B298" s="48" t="n"/>
      <c r="C298" s="47" t="n"/>
      <c r="D298" s="48" t="n"/>
      <c r="E298" s="48" t="n"/>
      <c r="F298" s="48" t="n"/>
      <c r="G298" s="47" t="n"/>
      <c r="H298" s="50" t="n"/>
      <c r="I298" s="50" t="n"/>
      <c r="J298" s="50" t="n"/>
      <c r="K298" s="50" t="n"/>
      <c r="L298" s="49" t="n"/>
      <c r="M298" s="49" t="n"/>
      <c r="N298" s="49" t="n"/>
      <c r="O298" s="49" t="n"/>
      <c r="P298" s="50" t="n"/>
      <c r="Q298" s="49" t="n"/>
      <c r="R298" s="56">
        <f>IF(Q298="","",IFERROR(VLOOKUP(Q298,Lookups!$A$2:$B$8,2,FALSE),""))</f>
        <v/>
      </c>
      <c r="S298" s="53">
        <f>IF(B298="","",B298&amp;"|"&amp;TEXT(C298,"00"))</f>
        <v/>
      </c>
      <c r="T298" s="53">
        <f>IF(B298="","",B298&amp;"|"&amp;TEXT(C298-1,"00"))</f>
        <v/>
      </c>
      <c r="U298" s="53">
        <f>IFERROR(INDEX($Q:$Q,MATCH(T298,$S:$S,0)),"")</f>
        <v/>
      </c>
      <c r="V298" s="56">
        <f>IFERROR(INDEX($R:$R,MATCH(T298,$S:$S,0)),"")</f>
        <v/>
      </c>
      <c r="W298" s="56">
        <f>IF(U298="","",IF(Q298&lt;&gt;U298,1,0))</f>
        <v/>
      </c>
      <c r="X298" s="56">
        <f>IF(V298="","",IF(R298&lt;V298,1,0))</f>
        <v/>
      </c>
      <c r="Y298" s="56">
        <f>IF(V298="","",IF(R298&gt;V298,1,0))</f>
        <v/>
      </c>
      <c r="Z298" s="56">
        <f>IF(Q298="Pass",1,0)</f>
        <v/>
      </c>
      <c r="AA298" s="50" t="n"/>
      <c r="AB298" s="50" t="n"/>
      <c r="AC298" s="49" t="n"/>
      <c r="AD298" s="50" t="n"/>
      <c r="AE298" s="49" t="n"/>
    </row>
    <row r="299" ht="15.75" customHeight="1" s="40">
      <c r="A299" s="48" t="n"/>
      <c r="B299" s="48" t="n"/>
      <c r="C299" s="47" t="n"/>
      <c r="D299" s="48" t="n"/>
      <c r="E299" s="48" t="n"/>
      <c r="F299" s="48" t="n"/>
      <c r="G299" s="47" t="n"/>
      <c r="H299" s="50" t="n"/>
      <c r="I299" s="50" t="n"/>
      <c r="J299" s="50" t="n"/>
      <c r="K299" s="50" t="n"/>
      <c r="L299" s="49" t="n"/>
      <c r="M299" s="49" t="n"/>
      <c r="N299" s="49" t="n"/>
      <c r="O299" s="49" t="n"/>
      <c r="P299" s="50" t="n"/>
      <c r="Q299" s="49" t="n"/>
      <c r="R299" s="56">
        <f>IF(Q299="","",IFERROR(VLOOKUP(Q299,Lookups!$A$2:$B$8,2,FALSE),""))</f>
        <v/>
      </c>
      <c r="S299" s="53">
        <f>IF(B299="","",B299&amp;"|"&amp;TEXT(C299,"00"))</f>
        <v/>
      </c>
      <c r="T299" s="53">
        <f>IF(B299="","",B299&amp;"|"&amp;TEXT(C299-1,"00"))</f>
        <v/>
      </c>
      <c r="U299" s="53">
        <f>IFERROR(INDEX($Q:$Q,MATCH(T299,$S:$S,0)),"")</f>
        <v/>
      </c>
      <c r="V299" s="56">
        <f>IFERROR(INDEX($R:$R,MATCH(T299,$S:$S,0)),"")</f>
        <v/>
      </c>
      <c r="W299" s="56">
        <f>IF(U299="","",IF(Q299&lt;&gt;U299,1,0))</f>
        <v/>
      </c>
      <c r="X299" s="56">
        <f>IF(V299="","",IF(R299&lt;V299,1,0))</f>
        <v/>
      </c>
      <c r="Y299" s="56">
        <f>IF(V299="","",IF(R299&gt;V299,1,0))</f>
        <v/>
      </c>
      <c r="Z299" s="56">
        <f>IF(Q299="Pass",1,0)</f>
        <v/>
      </c>
      <c r="AA299" s="50" t="n"/>
      <c r="AB299" s="50" t="n"/>
      <c r="AC299" s="49" t="n"/>
      <c r="AD299" s="50" t="n"/>
      <c r="AE299" s="49" t="n"/>
    </row>
    <row r="300" ht="15.75" customHeight="1" s="40">
      <c r="A300" s="48" t="n"/>
      <c r="B300" s="48" t="n"/>
      <c r="C300" s="47" t="n"/>
      <c r="D300" s="48" t="n"/>
      <c r="E300" s="48" t="n"/>
      <c r="F300" s="48" t="n"/>
      <c r="G300" s="47" t="n"/>
      <c r="H300" s="50" t="n"/>
      <c r="I300" s="50" t="n"/>
      <c r="J300" s="50" t="n"/>
      <c r="K300" s="50" t="n"/>
      <c r="L300" s="49" t="n"/>
      <c r="M300" s="49" t="n"/>
      <c r="N300" s="49" t="n"/>
      <c r="O300" s="49" t="n"/>
      <c r="P300" s="50" t="n"/>
      <c r="Q300" s="49" t="n"/>
      <c r="R300" s="56">
        <f>IF(Q300="","",IFERROR(VLOOKUP(Q300,Lookups!$A$2:$B$8,2,FALSE),""))</f>
        <v/>
      </c>
      <c r="S300" s="53">
        <f>IF(B300="","",B300&amp;"|"&amp;TEXT(C300,"00"))</f>
        <v/>
      </c>
      <c r="T300" s="53">
        <f>IF(B300="","",B300&amp;"|"&amp;TEXT(C300-1,"00"))</f>
        <v/>
      </c>
      <c r="U300" s="53">
        <f>IFERROR(INDEX($Q:$Q,MATCH(T300,$S:$S,0)),"")</f>
        <v/>
      </c>
      <c r="V300" s="56">
        <f>IFERROR(INDEX($R:$R,MATCH(T300,$S:$S,0)),"")</f>
        <v/>
      </c>
      <c r="W300" s="56">
        <f>IF(U300="","",IF(Q300&lt;&gt;U300,1,0))</f>
        <v/>
      </c>
      <c r="X300" s="56">
        <f>IF(V300="","",IF(R300&lt;V300,1,0))</f>
        <v/>
      </c>
      <c r="Y300" s="56">
        <f>IF(V300="","",IF(R300&gt;V300,1,0))</f>
        <v/>
      </c>
      <c r="Z300" s="56">
        <f>IF(Q300="Pass",1,0)</f>
        <v/>
      </c>
      <c r="AA300" s="50" t="n"/>
      <c r="AB300" s="50" t="n"/>
      <c r="AC300" s="49" t="n"/>
      <c r="AD300" s="50" t="n"/>
      <c r="AE300" s="49" t="n"/>
    </row>
    <row r="301" ht="15.75" customHeight="1" s="40">
      <c r="A301" s="48" t="n"/>
      <c r="B301" s="48" t="n"/>
      <c r="C301" s="47" t="n"/>
      <c r="D301" s="48" t="n"/>
      <c r="E301" s="48" t="n"/>
      <c r="F301" s="48" t="n"/>
      <c r="G301" s="47" t="n"/>
      <c r="H301" s="50" t="n"/>
      <c r="I301" s="50" t="n"/>
      <c r="J301" s="50" t="n"/>
      <c r="K301" s="50" t="n"/>
      <c r="L301" s="49" t="n"/>
      <c r="M301" s="49" t="n"/>
      <c r="N301" s="49" t="n"/>
      <c r="O301" s="49" t="n"/>
      <c r="P301" s="50" t="n"/>
      <c r="Q301" s="49" t="n"/>
      <c r="R301" s="56">
        <f>IF(Q301="","",IFERROR(VLOOKUP(Q301,Lookups!$A$2:$B$8,2,FALSE),""))</f>
        <v/>
      </c>
      <c r="S301" s="53">
        <f>IF(B301="","",B301&amp;"|"&amp;TEXT(C301,"00"))</f>
        <v/>
      </c>
      <c r="T301" s="53">
        <f>IF(B301="","",B301&amp;"|"&amp;TEXT(C301-1,"00"))</f>
        <v/>
      </c>
      <c r="U301" s="53">
        <f>IFERROR(INDEX($Q:$Q,MATCH(T301,$S:$S,0)),"")</f>
        <v/>
      </c>
      <c r="V301" s="56">
        <f>IFERROR(INDEX($R:$R,MATCH(T301,$S:$S,0)),"")</f>
        <v/>
      </c>
      <c r="W301" s="56">
        <f>IF(U301="","",IF(Q301&lt;&gt;U301,1,0))</f>
        <v/>
      </c>
      <c r="X301" s="56">
        <f>IF(V301="","",IF(R301&lt;V301,1,0))</f>
        <v/>
      </c>
      <c r="Y301" s="56">
        <f>IF(V301="","",IF(R301&gt;V301,1,0))</f>
        <v/>
      </c>
      <c r="Z301" s="56">
        <f>IF(Q301="Pass",1,0)</f>
        <v/>
      </c>
      <c r="AA301" s="50" t="n"/>
      <c r="AB301" s="50" t="n"/>
      <c r="AC301" s="49" t="n"/>
      <c r="AD301" s="50" t="n"/>
      <c r="AE301" s="49" t="n"/>
    </row>
    <row r="302" ht="15.75" customHeight="1" s="40">
      <c r="A302" s="48" t="n"/>
      <c r="B302" s="48" t="n"/>
      <c r="C302" s="47" t="n"/>
      <c r="D302" s="48" t="n"/>
      <c r="E302" s="48" t="n"/>
      <c r="F302" s="48" t="n"/>
      <c r="G302" s="47" t="n"/>
      <c r="H302" s="50" t="n"/>
      <c r="I302" s="50" t="n"/>
      <c r="J302" s="50" t="n"/>
      <c r="K302" s="50" t="n"/>
      <c r="L302" s="49" t="n"/>
      <c r="M302" s="49" t="n"/>
      <c r="N302" s="49" t="n"/>
      <c r="O302" s="49" t="n"/>
      <c r="P302" s="50" t="n"/>
      <c r="Q302" s="49" t="n"/>
      <c r="R302" s="56">
        <f>IF(Q302="","",IFERROR(VLOOKUP(Q302,Lookups!$A$2:$B$8,2,FALSE),""))</f>
        <v/>
      </c>
      <c r="S302" s="53">
        <f>IF(B302="","",B302&amp;"|"&amp;TEXT(C302,"00"))</f>
        <v/>
      </c>
      <c r="T302" s="53">
        <f>IF(B302="","",B302&amp;"|"&amp;TEXT(C302-1,"00"))</f>
        <v/>
      </c>
      <c r="U302" s="53">
        <f>IFERROR(INDEX($Q:$Q,MATCH(T302,$S:$S,0)),"")</f>
        <v/>
      </c>
      <c r="V302" s="56">
        <f>IFERROR(INDEX($R:$R,MATCH(T302,$S:$S,0)),"")</f>
        <v/>
      </c>
      <c r="W302" s="56">
        <f>IF(U302="","",IF(Q302&lt;&gt;U302,1,0))</f>
        <v/>
      </c>
      <c r="X302" s="56">
        <f>IF(V302="","",IF(R302&lt;V302,1,0))</f>
        <v/>
      </c>
      <c r="Y302" s="56">
        <f>IF(V302="","",IF(R302&gt;V302,1,0))</f>
        <v/>
      </c>
      <c r="Z302" s="56">
        <f>IF(Q302="Pass",1,0)</f>
        <v/>
      </c>
      <c r="AA302" s="50" t="n"/>
      <c r="AB302" s="50" t="n"/>
      <c r="AC302" s="49" t="n"/>
      <c r="AD302" s="50" t="n"/>
      <c r="AE302" s="49" t="n"/>
    </row>
    <row r="303" ht="15.75" customHeight="1" s="40">
      <c r="A303" s="48" t="n"/>
      <c r="B303" s="48" t="n"/>
      <c r="C303" s="47" t="n"/>
      <c r="D303" s="48" t="n"/>
      <c r="E303" s="48" t="n"/>
      <c r="F303" s="48" t="n"/>
      <c r="G303" s="47" t="n"/>
      <c r="H303" s="50" t="n"/>
      <c r="I303" s="50" t="n"/>
      <c r="J303" s="50" t="n"/>
      <c r="K303" s="50" t="n"/>
      <c r="L303" s="49" t="n"/>
      <c r="M303" s="49" t="n"/>
      <c r="N303" s="49" t="n"/>
      <c r="O303" s="49" t="n"/>
      <c r="P303" s="50" t="n"/>
      <c r="Q303" s="49" t="n"/>
      <c r="R303" s="56">
        <f>IF(Q303="","",IFERROR(VLOOKUP(Q303,Lookups!$A$2:$B$8,2,FALSE),""))</f>
        <v/>
      </c>
      <c r="S303" s="53">
        <f>IF(B303="","",B303&amp;"|"&amp;TEXT(C303,"00"))</f>
        <v/>
      </c>
      <c r="T303" s="53">
        <f>IF(B303="","",B303&amp;"|"&amp;TEXT(C303-1,"00"))</f>
        <v/>
      </c>
      <c r="U303" s="53">
        <f>IFERROR(INDEX($Q:$Q,MATCH(T303,$S:$S,0)),"")</f>
        <v/>
      </c>
      <c r="V303" s="56">
        <f>IFERROR(INDEX($R:$R,MATCH(T303,$S:$S,0)),"")</f>
        <v/>
      </c>
      <c r="W303" s="56">
        <f>IF(U303="","",IF(Q303&lt;&gt;U303,1,0))</f>
        <v/>
      </c>
      <c r="X303" s="56">
        <f>IF(V303="","",IF(R303&lt;V303,1,0))</f>
        <v/>
      </c>
      <c r="Y303" s="56">
        <f>IF(V303="","",IF(R303&gt;V303,1,0))</f>
        <v/>
      </c>
      <c r="Z303" s="56">
        <f>IF(Q303="Pass",1,0)</f>
        <v/>
      </c>
      <c r="AA303" s="50" t="n"/>
      <c r="AB303" s="50" t="n"/>
      <c r="AC303" s="49" t="n"/>
      <c r="AD303" s="50" t="n"/>
      <c r="AE303" s="49" t="n"/>
    </row>
    <row r="304" ht="15.75" customHeight="1" s="40">
      <c r="A304" s="48" t="n"/>
      <c r="B304" s="48" t="n"/>
      <c r="C304" s="47" t="n"/>
      <c r="D304" s="48" t="n"/>
      <c r="E304" s="48" t="n"/>
      <c r="F304" s="48" t="n"/>
      <c r="G304" s="47" t="n"/>
      <c r="H304" s="50" t="n"/>
      <c r="I304" s="50" t="n"/>
      <c r="J304" s="50" t="n"/>
      <c r="K304" s="50" t="n"/>
      <c r="L304" s="49" t="n"/>
      <c r="M304" s="49" t="n"/>
      <c r="N304" s="49" t="n"/>
      <c r="O304" s="49" t="n"/>
      <c r="P304" s="50" t="n"/>
      <c r="Q304" s="49" t="n"/>
      <c r="R304" s="56">
        <f>IF(Q304="","",IFERROR(VLOOKUP(Q304,Lookups!$A$2:$B$8,2,FALSE),""))</f>
        <v/>
      </c>
      <c r="S304" s="53">
        <f>IF(B304="","",B304&amp;"|"&amp;TEXT(C304,"00"))</f>
        <v/>
      </c>
      <c r="T304" s="53">
        <f>IF(B304="","",B304&amp;"|"&amp;TEXT(C304-1,"00"))</f>
        <v/>
      </c>
      <c r="U304" s="53">
        <f>IFERROR(INDEX($Q:$Q,MATCH(T304,$S:$S,0)),"")</f>
        <v/>
      </c>
      <c r="V304" s="56">
        <f>IFERROR(INDEX($R:$R,MATCH(T304,$S:$S,0)),"")</f>
        <v/>
      </c>
      <c r="W304" s="56">
        <f>IF(U304="","",IF(Q304&lt;&gt;U304,1,0))</f>
        <v/>
      </c>
      <c r="X304" s="56">
        <f>IF(V304="","",IF(R304&lt;V304,1,0))</f>
        <v/>
      </c>
      <c r="Y304" s="56">
        <f>IF(V304="","",IF(R304&gt;V304,1,0))</f>
        <v/>
      </c>
      <c r="Z304" s="56">
        <f>IF(Q304="Pass",1,0)</f>
        <v/>
      </c>
      <c r="AA304" s="50" t="n"/>
      <c r="AB304" s="50" t="n"/>
      <c r="AC304" s="49" t="n"/>
      <c r="AD304" s="50" t="n"/>
      <c r="AE304" s="49" t="n"/>
    </row>
    <row r="305" ht="15.75" customHeight="1" s="40">
      <c r="A305" s="48" t="n"/>
      <c r="B305" s="48" t="n"/>
      <c r="C305" s="47" t="n"/>
      <c r="D305" s="48" t="n"/>
      <c r="E305" s="48" t="n"/>
      <c r="F305" s="48" t="n"/>
      <c r="G305" s="47" t="n"/>
      <c r="H305" s="50" t="n"/>
      <c r="I305" s="50" t="n"/>
      <c r="J305" s="50" t="n"/>
      <c r="K305" s="50" t="n"/>
      <c r="L305" s="49" t="n"/>
      <c r="M305" s="49" t="n"/>
      <c r="N305" s="49" t="n"/>
      <c r="O305" s="49" t="n"/>
      <c r="P305" s="50" t="n"/>
      <c r="Q305" s="49" t="n"/>
      <c r="R305" s="56">
        <f>IF(Q305="","",IFERROR(VLOOKUP(Q305,Lookups!$A$2:$B$8,2,FALSE),""))</f>
        <v/>
      </c>
      <c r="S305" s="53">
        <f>IF(B305="","",B305&amp;"|"&amp;TEXT(C305,"00"))</f>
        <v/>
      </c>
      <c r="T305" s="53">
        <f>IF(B305="","",B305&amp;"|"&amp;TEXT(C305-1,"00"))</f>
        <v/>
      </c>
      <c r="U305" s="53">
        <f>IFERROR(INDEX($Q:$Q,MATCH(T305,$S:$S,0)),"")</f>
        <v/>
      </c>
      <c r="V305" s="56">
        <f>IFERROR(INDEX($R:$R,MATCH(T305,$S:$S,0)),"")</f>
        <v/>
      </c>
      <c r="W305" s="56">
        <f>IF(U305="","",IF(Q305&lt;&gt;U305,1,0))</f>
        <v/>
      </c>
      <c r="X305" s="56">
        <f>IF(V305="","",IF(R305&lt;V305,1,0))</f>
        <v/>
      </c>
      <c r="Y305" s="56">
        <f>IF(V305="","",IF(R305&gt;V305,1,0))</f>
        <v/>
      </c>
      <c r="Z305" s="56">
        <f>IF(Q305="Pass",1,0)</f>
        <v/>
      </c>
      <c r="AA305" s="50" t="n"/>
      <c r="AB305" s="50" t="n"/>
      <c r="AC305" s="49" t="n"/>
      <c r="AD305" s="50" t="n"/>
      <c r="AE305" s="49" t="n"/>
    </row>
    <row r="306" ht="15.75" customHeight="1" s="40">
      <c r="A306" s="48" t="n"/>
      <c r="B306" s="48" t="n"/>
      <c r="C306" s="47" t="n"/>
      <c r="D306" s="48" t="n"/>
      <c r="E306" s="48" t="n"/>
      <c r="F306" s="48" t="n"/>
      <c r="G306" s="47" t="n"/>
      <c r="H306" s="50" t="n"/>
      <c r="I306" s="50" t="n"/>
      <c r="J306" s="50" t="n"/>
      <c r="K306" s="50" t="n"/>
      <c r="L306" s="49" t="n"/>
      <c r="M306" s="49" t="n"/>
      <c r="N306" s="49" t="n"/>
      <c r="O306" s="49" t="n"/>
      <c r="P306" s="50" t="n"/>
      <c r="Q306" s="49" t="n"/>
      <c r="R306" s="56">
        <f>IF(Q306="","",IFERROR(VLOOKUP(Q306,Lookups!$A$2:$B$8,2,FALSE),""))</f>
        <v/>
      </c>
      <c r="S306" s="53">
        <f>IF(B306="","",B306&amp;"|"&amp;TEXT(C306,"00"))</f>
        <v/>
      </c>
      <c r="T306" s="53">
        <f>IF(B306="","",B306&amp;"|"&amp;TEXT(C306-1,"00"))</f>
        <v/>
      </c>
      <c r="U306" s="53">
        <f>IFERROR(INDEX($Q:$Q,MATCH(T306,$S:$S,0)),"")</f>
        <v/>
      </c>
      <c r="V306" s="56">
        <f>IFERROR(INDEX($R:$R,MATCH(T306,$S:$S,0)),"")</f>
        <v/>
      </c>
      <c r="W306" s="56">
        <f>IF(U306="","",IF(Q306&lt;&gt;U306,1,0))</f>
        <v/>
      </c>
      <c r="X306" s="56">
        <f>IF(V306="","",IF(R306&lt;V306,1,0))</f>
        <v/>
      </c>
      <c r="Y306" s="56">
        <f>IF(V306="","",IF(R306&gt;V306,1,0))</f>
        <v/>
      </c>
      <c r="Z306" s="56">
        <f>IF(Q306="Pass",1,0)</f>
        <v/>
      </c>
      <c r="AA306" s="50" t="n"/>
      <c r="AB306" s="50" t="n"/>
      <c r="AC306" s="49" t="n"/>
      <c r="AD306" s="50" t="n"/>
      <c r="AE306" s="49" t="n"/>
    </row>
    <row r="307" ht="15.75" customHeight="1" s="40">
      <c r="A307" s="48" t="n"/>
      <c r="B307" s="48" t="n"/>
      <c r="C307" s="47" t="n"/>
      <c r="D307" s="48" t="n"/>
      <c r="E307" s="48" t="n"/>
      <c r="F307" s="48" t="n"/>
      <c r="G307" s="47" t="n"/>
      <c r="H307" s="50" t="n"/>
      <c r="I307" s="50" t="n"/>
      <c r="J307" s="50" t="n"/>
      <c r="K307" s="50" t="n"/>
      <c r="L307" s="49" t="n"/>
      <c r="M307" s="49" t="n"/>
      <c r="N307" s="49" t="n"/>
      <c r="O307" s="49" t="n"/>
      <c r="P307" s="50" t="n"/>
      <c r="Q307" s="49" t="n"/>
      <c r="R307" s="56">
        <f>IF(Q307="","",IFERROR(VLOOKUP(Q307,Lookups!$A$2:$B$8,2,FALSE),""))</f>
        <v/>
      </c>
      <c r="S307" s="53">
        <f>IF(B307="","",B307&amp;"|"&amp;TEXT(C307,"00"))</f>
        <v/>
      </c>
      <c r="T307" s="53">
        <f>IF(B307="","",B307&amp;"|"&amp;TEXT(C307-1,"00"))</f>
        <v/>
      </c>
      <c r="U307" s="53">
        <f>IFERROR(INDEX($Q:$Q,MATCH(T307,$S:$S,0)),"")</f>
        <v/>
      </c>
      <c r="V307" s="56">
        <f>IFERROR(INDEX($R:$R,MATCH(T307,$S:$S,0)),"")</f>
        <v/>
      </c>
      <c r="W307" s="56">
        <f>IF(U307="","",IF(Q307&lt;&gt;U307,1,0))</f>
        <v/>
      </c>
      <c r="X307" s="56">
        <f>IF(V307="","",IF(R307&lt;V307,1,0))</f>
        <v/>
      </c>
      <c r="Y307" s="56">
        <f>IF(V307="","",IF(R307&gt;V307,1,0))</f>
        <v/>
      </c>
      <c r="Z307" s="56">
        <f>IF(Q307="Pass",1,0)</f>
        <v/>
      </c>
      <c r="AA307" s="50" t="n"/>
      <c r="AB307" s="50" t="n"/>
      <c r="AC307" s="49" t="n"/>
      <c r="AD307" s="50" t="n"/>
      <c r="AE307" s="49" t="n"/>
    </row>
    <row r="308" ht="15.75" customHeight="1" s="40">
      <c r="A308" s="48" t="n"/>
      <c r="B308" s="48" t="n"/>
      <c r="C308" s="47" t="n"/>
      <c r="D308" s="48" t="n"/>
      <c r="E308" s="48" t="n"/>
      <c r="F308" s="48" t="n"/>
      <c r="G308" s="47" t="n"/>
      <c r="H308" s="50" t="n"/>
      <c r="I308" s="50" t="n"/>
      <c r="J308" s="50" t="n"/>
      <c r="K308" s="50" t="n"/>
      <c r="L308" s="49" t="n"/>
      <c r="M308" s="49" t="n"/>
      <c r="N308" s="49" t="n"/>
      <c r="O308" s="49" t="n"/>
      <c r="P308" s="50" t="n"/>
      <c r="Q308" s="49" t="n"/>
      <c r="R308" s="56">
        <f>IF(Q308="","",IFERROR(VLOOKUP(Q308,Lookups!$A$2:$B$8,2,FALSE),""))</f>
        <v/>
      </c>
      <c r="S308" s="53">
        <f>IF(B308="","",B308&amp;"|"&amp;TEXT(C308,"00"))</f>
        <v/>
      </c>
      <c r="T308" s="53">
        <f>IF(B308="","",B308&amp;"|"&amp;TEXT(C308-1,"00"))</f>
        <v/>
      </c>
      <c r="U308" s="53">
        <f>IFERROR(INDEX($Q:$Q,MATCH(T308,$S:$S,0)),"")</f>
        <v/>
      </c>
      <c r="V308" s="56">
        <f>IFERROR(INDEX($R:$R,MATCH(T308,$S:$S,0)),"")</f>
        <v/>
      </c>
      <c r="W308" s="56">
        <f>IF(U308="","",IF(Q308&lt;&gt;U308,1,0))</f>
        <v/>
      </c>
      <c r="X308" s="56">
        <f>IF(V308="","",IF(R308&lt;V308,1,0))</f>
        <v/>
      </c>
      <c r="Y308" s="56">
        <f>IF(V308="","",IF(R308&gt;V308,1,0))</f>
        <v/>
      </c>
      <c r="Z308" s="56">
        <f>IF(Q308="Pass",1,0)</f>
        <v/>
      </c>
      <c r="AA308" s="50" t="n"/>
      <c r="AB308" s="50" t="n"/>
      <c r="AC308" s="49" t="n"/>
      <c r="AD308" s="50" t="n"/>
      <c r="AE308" s="49" t="n"/>
    </row>
    <row r="309" ht="15.75" customHeight="1" s="40">
      <c r="A309" s="48" t="n"/>
      <c r="B309" s="48" t="n"/>
      <c r="C309" s="47" t="n"/>
      <c r="D309" s="48" t="n"/>
      <c r="E309" s="48" t="n"/>
      <c r="F309" s="48" t="n"/>
      <c r="G309" s="47" t="n"/>
      <c r="H309" s="50" t="n"/>
      <c r="I309" s="50" t="n"/>
      <c r="J309" s="50" t="n"/>
      <c r="K309" s="50" t="n"/>
      <c r="L309" s="49" t="n"/>
      <c r="M309" s="49" t="n"/>
      <c r="N309" s="49" t="n"/>
      <c r="O309" s="49" t="n"/>
      <c r="P309" s="50" t="n"/>
      <c r="Q309" s="49" t="n"/>
      <c r="R309" s="56">
        <f>IF(Q309="","",IFERROR(VLOOKUP(Q309,Lookups!$A$2:$B$8,2,FALSE),""))</f>
        <v/>
      </c>
      <c r="S309" s="53">
        <f>IF(B309="","",B309&amp;"|"&amp;TEXT(C309,"00"))</f>
        <v/>
      </c>
      <c r="T309" s="53">
        <f>IF(B309="","",B309&amp;"|"&amp;TEXT(C309-1,"00"))</f>
        <v/>
      </c>
      <c r="U309" s="53">
        <f>IFERROR(INDEX($Q:$Q,MATCH(T309,$S:$S,0)),"")</f>
        <v/>
      </c>
      <c r="V309" s="56">
        <f>IFERROR(INDEX($R:$R,MATCH(T309,$S:$S,0)),"")</f>
        <v/>
      </c>
      <c r="W309" s="56">
        <f>IF(U309="","",IF(Q309&lt;&gt;U309,1,0))</f>
        <v/>
      </c>
      <c r="X309" s="56">
        <f>IF(V309="","",IF(R309&lt;V309,1,0))</f>
        <v/>
      </c>
      <c r="Y309" s="56">
        <f>IF(V309="","",IF(R309&gt;V309,1,0))</f>
        <v/>
      </c>
      <c r="Z309" s="56">
        <f>IF(Q309="Pass",1,0)</f>
        <v/>
      </c>
      <c r="AA309" s="50" t="n"/>
      <c r="AB309" s="50" t="n"/>
      <c r="AC309" s="49" t="n"/>
      <c r="AD309" s="50" t="n"/>
      <c r="AE309" s="49" t="n"/>
    </row>
    <row r="310" ht="15.75" customHeight="1" s="40">
      <c r="A310" s="48" t="n"/>
      <c r="B310" s="48" t="n"/>
      <c r="C310" s="47" t="n"/>
      <c r="D310" s="48" t="n"/>
      <c r="E310" s="48" t="n"/>
      <c r="F310" s="48" t="n"/>
      <c r="G310" s="47" t="n"/>
      <c r="H310" s="50" t="n"/>
      <c r="I310" s="50" t="n"/>
      <c r="J310" s="50" t="n"/>
      <c r="K310" s="50" t="n"/>
      <c r="L310" s="49" t="n"/>
      <c r="M310" s="49" t="n"/>
      <c r="N310" s="49" t="n"/>
      <c r="O310" s="49" t="n"/>
      <c r="P310" s="50" t="n"/>
      <c r="Q310" s="49" t="n"/>
      <c r="R310" s="56">
        <f>IF(Q310="","",IFERROR(VLOOKUP(Q310,Lookups!$A$2:$B$8,2,FALSE),""))</f>
        <v/>
      </c>
      <c r="S310" s="53">
        <f>IF(B310="","",B310&amp;"|"&amp;TEXT(C310,"00"))</f>
        <v/>
      </c>
      <c r="T310" s="53">
        <f>IF(B310="","",B310&amp;"|"&amp;TEXT(C310-1,"00"))</f>
        <v/>
      </c>
      <c r="U310" s="53">
        <f>IFERROR(INDEX($Q:$Q,MATCH(T310,$S:$S,0)),"")</f>
        <v/>
      </c>
      <c r="V310" s="56">
        <f>IFERROR(INDEX($R:$R,MATCH(T310,$S:$S,0)),"")</f>
        <v/>
      </c>
      <c r="W310" s="56">
        <f>IF(U310="","",IF(Q310&lt;&gt;U310,1,0))</f>
        <v/>
      </c>
      <c r="X310" s="56">
        <f>IF(V310="","",IF(R310&lt;V310,1,0))</f>
        <v/>
      </c>
      <c r="Y310" s="56">
        <f>IF(V310="","",IF(R310&gt;V310,1,0))</f>
        <v/>
      </c>
      <c r="Z310" s="56">
        <f>IF(Q310="Pass",1,0)</f>
        <v/>
      </c>
      <c r="AA310" s="50" t="n"/>
      <c r="AB310" s="50" t="n"/>
      <c r="AC310" s="49" t="n"/>
      <c r="AD310" s="50" t="n"/>
      <c r="AE310" s="49" t="n"/>
    </row>
    <row r="311" ht="15.75" customHeight="1" s="40">
      <c r="A311" s="48" t="n"/>
      <c r="B311" s="48" t="n"/>
      <c r="C311" s="47" t="n"/>
      <c r="D311" s="48" t="n"/>
      <c r="E311" s="48" t="n"/>
      <c r="F311" s="48" t="n"/>
      <c r="G311" s="47" t="n"/>
      <c r="H311" s="50" t="n"/>
      <c r="I311" s="50" t="n"/>
      <c r="J311" s="50" t="n"/>
      <c r="K311" s="50" t="n"/>
      <c r="L311" s="49" t="n"/>
      <c r="M311" s="49" t="n"/>
      <c r="N311" s="49" t="n"/>
      <c r="O311" s="49" t="n"/>
      <c r="P311" s="50" t="n"/>
      <c r="Q311" s="49" t="n"/>
      <c r="R311" s="56">
        <f>IF(Q311="","",IFERROR(VLOOKUP(Q311,Lookups!$A$2:$B$8,2,FALSE),""))</f>
        <v/>
      </c>
      <c r="S311" s="53">
        <f>IF(B311="","",B311&amp;"|"&amp;TEXT(C311,"00"))</f>
        <v/>
      </c>
      <c r="T311" s="53">
        <f>IF(B311="","",B311&amp;"|"&amp;TEXT(C311-1,"00"))</f>
        <v/>
      </c>
      <c r="U311" s="53">
        <f>IFERROR(INDEX($Q:$Q,MATCH(T311,$S:$S,0)),"")</f>
        <v/>
      </c>
      <c r="V311" s="56">
        <f>IFERROR(INDEX($R:$R,MATCH(T311,$S:$S,0)),"")</f>
        <v/>
      </c>
      <c r="W311" s="56">
        <f>IF(U311="","",IF(Q311&lt;&gt;U311,1,0))</f>
        <v/>
      </c>
      <c r="X311" s="56">
        <f>IF(V311="","",IF(R311&lt;V311,1,0))</f>
        <v/>
      </c>
      <c r="Y311" s="56">
        <f>IF(V311="","",IF(R311&gt;V311,1,0))</f>
        <v/>
      </c>
      <c r="Z311" s="56">
        <f>IF(Q311="Pass",1,0)</f>
        <v/>
      </c>
      <c r="AA311" s="50" t="n"/>
      <c r="AB311" s="50" t="n"/>
      <c r="AC311" s="49" t="n"/>
      <c r="AD311" s="50" t="n"/>
      <c r="AE311" s="49" t="n"/>
    </row>
    <row r="312" ht="15.75" customHeight="1" s="40">
      <c r="A312" s="48" t="n"/>
      <c r="B312" s="48" t="n"/>
      <c r="C312" s="47" t="n"/>
      <c r="D312" s="48" t="n"/>
      <c r="E312" s="48" t="n"/>
      <c r="F312" s="48" t="n"/>
      <c r="G312" s="47" t="n"/>
      <c r="H312" s="50" t="n"/>
      <c r="I312" s="50" t="n"/>
      <c r="J312" s="50" t="n"/>
      <c r="K312" s="50" t="n"/>
      <c r="L312" s="49" t="n"/>
      <c r="M312" s="49" t="n"/>
      <c r="N312" s="49" t="n"/>
      <c r="O312" s="49" t="n"/>
      <c r="P312" s="50" t="n"/>
      <c r="Q312" s="49" t="n"/>
      <c r="R312" s="56">
        <f>IF(Q312="","",IFERROR(VLOOKUP(Q312,Lookups!$A$2:$B$8,2,FALSE),""))</f>
        <v/>
      </c>
      <c r="S312" s="53">
        <f>IF(B312="","",B312&amp;"|"&amp;TEXT(C312,"00"))</f>
        <v/>
      </c>
      <c r="T312" s="53">
        <f>IF(B312="","",B312&amp;"|"&amp;TEXT(C312-1,"00"))</f>
        <v/>
      </c>
      <c r="U312" s="53">
        <f>IFERROR(INDEX($Q:$Q,MATCH(T312,$S:$S,0)),"")</f>
        <v/>
      </c>
      <c r="V312" s="56">
        <f>IFERROR(INDEX($R:$R,MATCH(T312,$S:$S,0)),"")</f>
        <v/>
      </c>
      <c r="W312" s="56">
        <f>IF(U312="","",IF(Q312&lt;&gt;U312,1,0))</f>
        <v/>
      </c>
      <c r="X312" s="56">
        <f>IF(V312="","",IF(R312&lt;V312,1,0))</f>
        <v/>
      </c>
      <c r="Y312" s="56">
        <f>IF(V312="","",IF(R312&gt;V312,1,0))</f>
        <v/>
      </c>
      <c r="Z312" s="56">
        <f>IF(Q312="Pass",1,0)</f>
        <v/>
      </c>
      <c r="AA312" s="50" t="n"/>
      <c r="AB312" s="50" t="n"/>
      <c r="AC312" s="49" t="n"/>
      <c r="AD312" s="50" t="n"/>
      <c r="AE312" s="49" t="n"/>
    </row>
    <row r="313" ht="15.75" customHeight="1" s="40">
      <c r="A313" s="48" t="n"/>
      <c r="B313" s="48" t="n"/>
      <c r="C313" s="47" t="n"/>
      <c r="D313" s="48" t="n"/>
      <c r="E313" s="48" t="n"/>
      <c r="F313" s="48" t="n"/>
      <c r="G313" s="47" t="n"/>
      <c r="H313" s="50" t="n"/>
      <c r="I313" s="50" t="n"/>
      <c r="J313" s="50" t="n"/>
      <c r="K313" s="50" t="n"/>
      <c r="L313" s="49" t="n"/>
      <c r="M313" s="49" t="n"/>
      <c r="N313" s="49" t="n"/>
      <c r="O313" s="49" t="n"/>
      <c r="P313" s="50" t="n"/>
      <c r="Q313" s="49" t="n"/>
      <c r="R313" s="56">
        <f>IF(Q313="","",IFERROR(VLOOKUP(Q313,Lookups!$A$2:$B$8,2,FALSE),""))</f>
        <v/>
      </c>
      <c r="S313" s="53">
        <f>IF(B313="","",B313&amp;"|"&amp;TEXT(C313,"00"))</f>
        <v/>
      </c>
      <c r="T313" s="53">
        <f>IF(B313="","",B313&amp;"|"&amp;TEXT(C313-1,"00"))</f>
        <v/>
      </c>
      <c r="U313" s="53">
        <f>IFERROR(INDEX($Q:$Q,MATCH(T313,$S:$S,0)),"")</f>
        <v/>
      </c>
      <c r="V313" s="56">
        <f>IFERROR(INDEX($R:$R,MATCH(T313,$S:$S,0)),"")</f>
        <v/>
      </c>
      <c r="W313" s="56">
        <f>IF(U313="","",IF(Q313&lt;&gt;U313,1,0))</f>
        <v/>
      </c>
      <c r="X313" s="56">
        <f>IF(V313="","",IF(R313&lt;V313,1,0))</f>
        <v/>
      </c>
      <c r="Y313" s="56">
        <f>IF(V313="","",IF(R313&gt;V313,1,0))</f>
        <v/>
      </c>
      <c r="Z313" s="56">
        <f>IF(Q313="Pass",1,0)</f>
        <v/>
      </c>
      <c r="AA313" s="50" t="n"/>
      <c r="AB313" s="50" t="n"/>
      <c r="AC313" s="49" t="n"/>
      <c r="AD313" s="50" t="n"/>
      <c r="AE313" s="49" t="n"/>
    </row>
    <row r="314" ht="15.75" customHeight="1" s="40">
      <c r="A314" s="48" t="n"/>
      <c r="B314" s="48" t="n"/>
      <c r="C314" s="47" t="n"/>
      <c r="D314" s="48" t="n"/>
      <c r="E314" s="48" t="n"/>
      <c r="F314" s="48" t="n"/>
      <c r="G314" s="47" t="n"/>
      <c r="H314" s="50" t="n"/>
      <c r="I314" s="50" t="n"/>
      <c r="J314" s="50" t="n"/>
      <c r="K314" s="50" t="n"/>
      <c r="L314" s="49" t="n"/>
      <c r="M314" s="49" t="n"/>
      <c r="N314" s="49" t="n"/>
      <c r="O314" s="49" t="n"/>
      <c r="P314" s="50" t="n"/>
      <c r="Q314" s="49" t="n"/>
      <c r="R314" s="56">
        <f>IF(Q314="","",IFERROR(VLOOKUP(Q314,Lookups!$A$2:$B$8,2,FALSE),""))</f>
        <v/>
      </c>
      <c r="S314" s="53">
        <f>IF(B314="","",B314&amp;"|"&amp;TEXT(C314,"00"))</f>
        <v/>
      </c>
      <c r="T314" s="53">
        <f>IF(B314="","",B314&amp;"|"&amp;TEXT(C314-1,"00"))</f>
        <v/>
      </c>
      <c r="U314" s="53">
        <f>IFERROR(INDEX($Q:$Q,MATCH(T314,$S:$S,0)),"")</f>
        <v/>
      </c>
      <c r="V314" s="56">
        <f>IFERROR(INDEX($R:$R,MATCH(T314,$S:$S,0)),"")</f>
        <v/>
      </c>
      <c r="W314" s="56">
        <f>IF(U314="","",IF(Q314&lt;&gt;U314,1,0))</f>
        <v/>
      </c>
      <c r="X314" s="56">
        <f>IF(V314="","",IF(R314&lt;V314,1,0))</f>
        <v/>
      </c>
      <c r="Y314" s="56">
        <f>IF(V314="","",IF(R314&gt;V314,1,0))</f>
        <v/>
      </c>
      <c r="Z314" s="56">
        <f>IF(Q314="Pass",1,0)</f>
        <v/>
      </c>
      <c r="AA314" s="50" t="n"/>
      <c r="AB314" s="50" t="n"/>
      <c r="AC314" s="49" t="n"/>
      <c r="AD314" s="50" t="n"/>
      <c r="AE314" s="49" t="n"/>
    </row>
    <row r="315" ht="15.75" customHeight="1" s="40">
      <c r="A315" s="48" t="n"/>
      <c r="B315" s="48" t="n"/>
      <c r="C315" s="47" t="n"/>
      <c r="D315" s="48" t="n"/>
      <c r="E315" s="48" t="n"/>
      <c r="F315" s="48" t="n"/>
      <c r="G315" s="47" t="n"/>
      <c r="H315" s="50" t="n"/>
      <c r="I315" s="50" t="n"/>
      <c r="J315" s="50" t="n"/>
      <c r="K315" s="50" t="n"/>
      <c r="L315" s="49" t="n"/>
      <c r="M315" s="49" t="n"/>
      <c r="N315" s="49" t="n"/>
      <c r="O315" s="49" t="n"/>
      <c r="P315" s="50" t="n"/>
      <c r="Q315" s="49" t="n"/>
      <c r="R315" s="56">
        <f>IF(Q315="","",IFERROR(VLOOKUP(Q315,Lookups!$A$2:$B$8,2,FALSE),""))</f>
        <v/>
      </c>
      <c r="S315" s="53">
        <f>IF(B315="","",B315&amp;"|"&amp;TEXT(C315,"00"))</f>
        <v/>
      </c>
      <c r="T315" s="53">
        <f>IF(B315="","",B315&amp;"|"&amp;TEXT(C315-1,"00"))</f>
        <v/>
      </c>
      <c r="U315" s="53">
        <f>IFERROR(INDEX($Q:$Q,MATCH(T315,$S:$S,0)),"")</f>
        <v/>
      </c>
      <c r="V315" s="56">
        <f>IFERROR(INDEX($R:$R,MATCH(T315,$S:$S,0)),"")</f>
        <v/>
      </c>
      <c r="W315" s="56">
        <f>IF(U315="","",IF(Q315&lt;&gt;U315,1,0))</f>
        <v/>
      </c>
      <c r="X315" s="56">
        <f>IF(V315="","",IF(R315&lt;V315,1,0))</f>
        <v/>
      </c>
      <c r="Y315" s="56">
        <f>IF(V315="","",IF(R315&gt;V315,1,0))</f>
        <v/>
      </c>
      <c r="Z315" s="56">
        <f>IF(Q315="Pass",1,0)</f>
        <v/>
      </c>
      <c r="AA315" s="50" t="n"/>
      <c r="AB315" s="50" t="n"/>
      <c r="AC315" s="49" t="n"/>
      <c r="AD315" s="50" t="n"/>
      <c r="AE315" s="49" t="n"/>
    </row>
    <row r="316" ht="15.75" customHeight="1" s="40">
      <c r="A316" s="48" t="n"/>
      <c r="B316" s="48" t="n"/>
      <c r="C316" s="47" t="n"/>
      <c r="D316" s="48" t="n"/>
      <c r="E316" s="48" t="n"/>
      <c r="F316" s="48" t="n"/>
      <c r="G316" s="47" t="n"/>
      <c r="H316" s="50" t="n"/>
      <c r="I316" s="50" t="n"/>
      <c r="J316" s="50" t="n"/>
      <c r="K316" s="50" t="n"/>
      <c r="L316" s="49" t="n"/>
      <c r="M316" s="49" t="n"/>
      <c r="N316" s="49" t="n"/>
      <c r="O316" s="49" t="n"/>
      <c r="P316" s="50" t="n"/>
      <c r="Q316" s="49" t="n"/>
      <c r="R316" s="56">
        <f>IF(Q316="","",IFERROR(VLOOKUP(Q316,Lookups!$A$2:$B$8,2,FALSE),""))</f>
        <v/>
      </c>
      <c r="S316" s="53">
        <f>IF(B316="","",B316&amp;"|"&amp;TEXT(C316,"00"))</f>
        <v/>
      </c>
      <c r="T316" s="53">
        <f>IF(B316="","",B316&amp;"|"&amp;TEXT(C316-1,"00"))</f>
        <v/>
      </c>
      <c r="U316" s="53">
        <f>IFERROR(INDEX($Q:$Q,MATCH(T316,$S:$S,0)),"")</f>
        <v/>
      </c>
      <c r="V316" s="56">
        <f>IFERROR(INDEX($R:$R,MATCH(T316,$S:$S,0)),"")</f>
        <v/>
      </c>
      <c r="W316" s="56">
        <f>IF(U316="","",IF(Q316&lt;&gt;U316,1,0))</f>
        <v/>
      </c>
      <c r="X316" s="56">
        <f>IF(V316="","",IF(R316&lt;V316,1,0))</f>
        <v/>
      </c>
      <c r="Y316" s="56">
        <f>IF(V316="","",IF(R316&gt;V316,1,0))</f>
        <v/>
      </c>
      <c r="Z316" s="56">
        <f>IF(Q316="Pass",1,0)</f>
        <v/>
      </c>
      <c r="AA316" s="50" t="n"/>
      <c r="AB316" s="50" t="n"/>
      <c r="AC316" s="49" t="n"/>
      <c r="AD316" s="50" t="n"/>
      <c r="AE316" s="49" t="n"/>
    </row>
    <row r="317" ht="15.75" customHeight="1" s="40">
      <c r="A317" s="48" t="n"/>
      <c r="B317" s="48" t="n"/>
      <c r="C317" s="47" t="n"/>
      <c r="D317" s="48" t="n"/>
      <c r="E317" s="48" t="n"/>
      <c r="F317" s="48" t="n"/>
      <c r="G317" s="47" t="n"/>
      <c r="H317" s="50" t="n"/>
      <c r="I317" s="50" t="n"/>
      <c r="J317" s="50" t="n"/>
      <c r="K317" s="50" t="n"/>
      <c r="L317" s="49" t="n"/>
      <c r="M317" s="49" t="n"/>
      <c r="N317" s="49" t="n"/>
      <c r="O317" s="49" t="n"/>
      <c r="P317" s="50" t="n"/>
      <c r="Q317" s="49" t="n"/>
      <c r="R317" s="56">
        <f>IF(Q317="","",IFERROR(VLOOKUP(Q317,Lookups!$A$2:$B$8,2,FALSE),""))</f>
        <v/>
      </c>
      <c r="S317" s="53">
        <f>IF(B317="","",B317&amp;"|"&amp;TEXT(C317,"00"))</f>
        <v/>
      </c>
      <c r="T317" s="53">
        <f>IF(B317="","",B317&amp;"|"&amp;TEXT(C317-1,"00"))</f>
        <v/>
      </c>
      <c r="U317" s="53">
        <f>IFERROR(INDEX($Q:$Q,MATCH(T317,$S:$S,0)),"")</f>
        <v/>
      </c>
      <c r="V317" s="56">
        <f>IFERROR(INDEX($R:$R,MATCH(T317,$S:$S,0)),"")</f>
        <v/>
      </c>
      <c r="W317" s="56">
        <f>IF(U317="","",IF(Q317&lt;&gt;U317,1,0))</f>
        <v/>
      </c>
      <c r="X317" s="56">
        <f>IF(V317="","",IF(R317&lt;V317,1,0))</f>
        <v/>
      </c>
      <c r="Y317" s="56">
        <f>IF(V317="","",IF(R317&gt;V317,1,0))</f>
        <v/>
      </c>
      <c r="Z317" s="56">
        <f>IF(Q317="Pass",1,0)</f>
        <v/>
      </c>
      <c r="AA317" s="50" t="n"/>
      <c r="AB317" s="50" t="n"/>
      <c r="AC317" s="49" t="n"/>
      <c r="AD317" s="50" t="n"/>
      <c r="AE317" s="49" t="n"/>
    </row>
    <row r="318" ht="15.75" customHeight="1" s="40">
      <c r="A318" s="48" t="n"/>
      <c r="B318" s="48" t="n"/>
      <c r="C318" s="47" t="n"/>
      <c r="D318" s="48" t="n"/>
      <c r="E318" s="48" t="n"/>
      <c r="F318" s="48" t="n"/>
      <c r="G318" s="47" t="n"/>
      <c r="H318" s="50" t="n"/>
      <c r="I318" s="50" t="n"/>
      <c r="J318" s="50" t="n"/>
      <c r="K318" s="50" t="n"/>
      <c r="L318" s="49" t="n"/>
      <c r="M318" s="49" t="n"/>
      <c r="N318" s="49" t="n"/>
      <c r="O318" s="49" t="n"/>
      <c r="P318" s="50" t="n"/>
      <c r="Q318" s="49" t="n"/>
      <c r="R318" s="56">
        <f>IF(Q318="","",IFERROR(VLOOKUP(Q318,Lookups!$A$2:$B$8,2,FALSE),""))</f>
        <v/>
      </c>
      <c r="S318" s="53">
        <f>IF(B318="","",B318&amp;"|"&amp;TEXT(C318,"00"))</f>
        <v/>
      </c>
      <c r="T318" s="53">
        <f>IF(B318="","",B318&amp;"|"&amp;TEXT(C318-1,"00"))</f>
        <v/>
      </c>
      <c r="U318" s="53">
        <f>IFERROR(INDEX($Q:$Q,MATCH(T318,$S:$S,0)),"")</f>
        <v/>
      </c>
      <c r="V318" s="56">
        <f>IFERROR(INDEX($R:$R,MATCH(T318,$S:$S,0)),"")</f>
        <v/>
      </c>
      <c r="W318" s="56">
        <f>IF(U318="","",IF(Q318&lt;&gt;U318,1,0))</f>
        <v/>
      </c>
      <c r="X318" s="56">
        <f>IF(V318="","",IF(R318&lt;V318,1,0))</f>
        <v/>
      </c>
      <c r="Y318" s="56">
        <f>IF(V318="","",IF(R318&gt;V318,1,0))</f>
        <v/>
      </c>
      <c r="Z318" s="56">
        <f>IF(Q318="Pass",1,0)</f>
        <v/>
      </c>
      <c r="AA318" s="50" t="n"/>
      <c r="AB318" s="50" t="n"/>
      <c r="AC318" s="49" t="n"/>
      <c r="AD318" s="50" t="n"/>
      <c r="AE318" s="49" t="n"/>
    </row>
    <row r="319" ht="15.75" customHeight="1" s="40">
      <c r="A319" s="48" t="n"/>
      <c r="B319" s="48" t="n"/>
      <c r="C319" s="47" t="n"/>
      <c r="D319" s="48" t="n"/>
      <c r="E319" s="48" t="n"/>
      <c r="F319" s="48" t="n"/>
      <c r="G319" s="47" t="n"/>
      <c r="H319" s="50" t="n"/>
      <c r="I319" s="50" t="n"/>
      <c r="J319" s="50" t="n"/>
      <c r="K319" s="50" t="n"/>
      <c r="L319" s="49" t="n"/>
      <c r="M319" s="49" t="n"/>
      <c r="N319" s="49" t="n"/>
      <c r="O319" s="49" t="n"/>
      <c r="P319" s="50" t="n"/>
      <c r="Q319" s="49" t="n"/>
      <c r="R319" s="56">
        <f>IF(Q319="","",IFERROR(VLOOKUP(Q319,Lookups!$A$2:$B$8,2,FALSE),""))</f>
        <v/>
      </c>
      <c r="S319" s="53">
        <f>IF(B319="","",B319&amp;"|"&amp;TEXT(C319,"00"))</f>
        <v/>
      </c>
      <c r="T319" s="53">
        <f>IF(B319="","",B319&amp;"|"&amp;TEXT(C319-1,"00"))</f>
        <v/>
      </c>
      <c r="U319" s="53">
        <f>IFERROR(INDEX($Q:$Q,MATCH(T319,$S:$S,0)),"")</f>
        <v/>
      </c>
      <c r="V319" s="56">
        <f>IFERROR(INDEX($R:$R,MATCH(T319,$S:$S,0)),"")</f>
        <v/>
      </c>
      <c r="W319" s="56">
        <f>IF(U319="","",IF(Q319&lt;&gt;U319,1,0))</f>
        <v/>
      </c>
      <c r="X319" s="56">
        <f>IF(V319="","",IF(R319&lt;V319,1,0))</f>
        <v/>
      </c>
      <c r="Y319" s="56">
        <f>IF(V319="","",IF(R319&gt;V319,1,0))</f>
        <v/>
      </c>
      <c r="Z319" s="56">
        <f>IF(Q319="Pass",1,0)</f>
        <v/>
      </c>
      <c r="AA319" s="50" t="n"/>
      <c r="AB319" s="50" t="n"/>
      <c r="AC319" s="49" t="n"/>
      <c r="AD319" s="50" t="n"/>
      <c r="AE319" s="49" t="n"/>
    </row>
    <row r="320" ht="15.75" customHeight="1" s="40">
      <c r="A320" s="48" t="n"/>
      <c r="B320" s="48" t="n"/>
      <c r="C320" s="47" t="n"/>
      <c r="D320" s="48" t="n"/>
      <c r="E320" s="48" t="n"/>
      <c r="F320" s="48" t="n"/>
      <c r="G320" s="47" t="n"/>
      <c r="H320" s="50" t="n"/>
      <c r="I320" s="50" t="n"/>
      <c r="J320" s="50" t="n"/>
      <c r="K320" s="50" t="n"/>
      <c r="L320" s="49" t="n"/>
      <c r="M320" s="49" t="n"/>
      <c r="N320" s="49" t="n"/>
      <c r="O320" s="49" t="n"/>
      <c r="P320" s="50" t="n"/>
      <c r="Q320" s="49" t="n"/>
      <c r="R320" s="56">
        <f>IF(Q320="","",IFERROR(VLOOKUP(Q320,Lookups!$A$2:$B$8,2,FALSE),""))</f>
        <v/>
      </c>
      <c r="S320" s="53">
        <f>IF(B320="","",B320&amp;"|"&amp;TEXT(C320,"00"))</f>
        <v/>
      </c>
      <c r="T320" s="53">
        <f>IF(B320="","",B320&amp;"|"&amp;TEXT(C320-1,"00"))</f>
        <v/>
      </c>
      <c r="U320" s="53">
        <f>IFERROR(INDEX($Q:$Q,MATCH(T320,$S:$S,0)),"")</f>
        <v/>
      </c>
      <c r="V320" s="56">
        <f>IFERROR(INDEX($R:$R,MATCH(T320,$S:$S,0)),"")</f>
        <v/>
      </c>
      <c r="W320" s="56">
        <f>IF(U320="","",IF(Q320&lt;&gt;U320,1,0))</f>
        <v/>
      </c>
      <c r="X320" s="56">
        <f>IF(V320="","",IF(R320&lt;V320,1,0))</f>
        <v/>
      </c>
      <c r="Y320" s="56">
        <f>IF(V320="","",IF(R320&gt;V320,1,0))</f>
        <v/>
      </c>
      <c r="Z320" s="56">
        <f>IF(Q320="Pass",1,0)</f>
        <v/>
      </c>
      <c r="AA320" s="50" t="n"/>
      <c r="AB320" s="50" t="n"/>
      <c r="AC320" s="49" t="n"/>
      <c r="AD320" s="50" t="n"/>
      <c r="AE320" s="49" t="n"/>
    </row>
    <row r="321" ht="15.75" customHeight="1" s="40">
      <c r="A321" s="48" t="n"/>
      <c r="B321" s="48" t="n"/>
      <c r="C321" s="47" t="n"/>
      <c r="D321" s="48" t="n"/>
      <c r="E321" s="48" t="n"/>
      <c r="F321" s="48" t="n"/>
      <c r="G321" s="47" t="n"/>
      <c r="H321" s="50" t="n"/>
      <c r="I321" s="50" t="n"/>
      <c r="J321" s="50" t="n"/>
      <c r="K321" s="50" t="n"/>
      <c r="L321" s="49" t="n"/>
      <c r="M321" s="49" t="n"/>
      <c r="N321" s="49" t="n"/>
      <c r="O321" s="49" t="n"/>
      <c r="P321" s="50" t="n"/>
      <c r="Q321" s="49" t="n"/>
      <c r="R321" s="56">
        <f>IF(Q321="","",IFERROR(VLOOKUP(Q321,Lookups!$A$2:$B$8,2,FALSE),""))</f>
        <v/>
      </c>
      <c r="S321" s="53">
        <f>IF(B321="","",B321&amp;"|"&amp;TEXT(C321,"00"))</f>
        <v/>
      </c>
      <c r="T321" s="53">
        <f>IF(B321="","",B321&amp;"|"&amp;TEXT(C321-1,"00"))</f>
        <v/>
      </c>
      <c r="U321" s="53">
        <f>IFERROR(INDEX($Q:$Q,MATCH(T321,$S:$S,0)),"")</f>
        <v/>
      </c>
      <c r="V321" s="56">
        <f>IFERROR(INDEX($R:$R,MATCH(T321,$S:$S,0)),"")</f>
        <v/>
      </c>
      <c r="W321" s="56">
        <f>IF(U321="","",IF(Q321&lt;&gt;U321,1,0))</f>
        <v/>
      </c>
      <c r="X321" s="56">
        <f>IF(V321="","",IF(R321&lt;V321,1,0))</f>
        <v/>
      </c>
      <c r="Y321" s="56">
        <f>IF(V321="","",IF(R321&gt;V321,1,0))</f>
        <v/>
      </c>
      <c r="Z321" s="56">
        <f>IF(Q321="Pass",1,0)</f>
        <v/>
      </c>
      <c r="AA321" s="50" t="n"/>
      <c r="AB321" s="50" t="n"/>
      <c r="AC321" s="49" t="n"/>
      <c r="AD321" s="50" t="n"/>
      <c r="AE321" s="49" t="n"/>
    </row>
    <row r="322" ht="15.75" customHeight="1" s="40">
      <c r="A322" s="48" t="n"/>
      <c r="B322" s="48" t="n"/>
      <c r="C322" s="47" t="n"/>
      <c r="D322" s="48" t="n"/>
      <c r="E322" s="48" t="n"/>
      <c r="F322" s="48" t="n"/>
      <c r="G322" s="47" t="n"/>
      <c r="H322" s="50" t="n"/>
      <c r="I322" s="50" t="n"/>
      <c r="J322" s="50" t="n"/>
      <c r="K322" s="50" t="n"/>
      <c r="L322" s="49" t="n"/>
      <c r="M322" s="49" t="n"/>
      <c r="N322" s="49" t="n"/>
      <c r="O322" s="49" t="n"/>
      <c r="P322" s="50" t="n"/>
      <c r="Q322" s="49" t="n"/>
      <c r="R322" s="56">
        <f>IF(Q322="","",IFERROR(VLOOKUP(Q322,Lookups!$A$2:$B$8,2,FALSE),""))</f>
        <v/>
      </c>
      <c r="S322" s="53">
        <f>IF(B322="","",B322&amp;"|"&amp;TEXT(C322,"00"))</f>
        <v/>
      </c>
      <c r="T322" s="53">
        <f>IF(B322="","",B322&amp;"|"&amp;TEXT(C322-1,"00"))</f>
        <v/>
      </c>
      <c r="U322" s="53">
        <f>IFERROR(INDEX($Q:$Q,MATCH(T322,$S:$S,0)),"")</f>
        <v/>
      </c>
      <c r="V322" s="56">
        <f>IFERROR(INDEX($R:$R,MATCH(T322,$S:$S,0)),"")</f>
        <v/>
      </c>
      <c r="W322" s="56">
        <f>IF(U322="","",IF(Q322&lt;&gt;U322,1,0))</f>
        <v/>
      </c>
      <c r="X322" s="56">
        <f>IF(V322="","",IF(R322&lt;V322,1,0))</f>
        <v/>
      </c>
      <c r="Y322" s="56">
        <f>IF(V322="","",IF(R322&gt;V322,1,0))</f>
        <v/>
      </c>
      <c r="Z322" s="56">
        <f>IF(Q322="Pass",1,0)</f>
        <v/>
      </c>
      <c r="AA322" s="50" t="n"/>
      <c r="AB322" s="50" t="n"/>
      <c r="AC322" s="49" t="n"/>
      <c r="AD322" s="50" t="n"/>
      <c r="AE322" s="49" t="n"/>
    </row>
    <row r="323" ht="15.75" customHeight="1" s="40">
      <c r="A323" s="48" t="n"/>
      <c r="B323" s="48" t="n"/>
      <c r="C323" s="47" t="n"/>
      <c r="D323" s="48" t="n"/>
      <c r="E323" s="48" t="n"/>
      <c r="F323" s="48" t="n"/>
      <c r="G323" s="47" t="n"/>
      <c r="H323" s="50" t="n"/>
      <c r="I323" s="50" t="n"/>
      <c r="J323" s="50" t="n"/>
      <c r="K323" s="50" t="n"/>
      <c r="L323" s="49" t="n"/>
      <c r="M323" s="49" t="n"/>
      <c r="N323" s="49" t="n"/>
      <c r="O323" s="49" t="n"/>
      <c r="P323" s="50" t="n"/>
      <c r="Q323" s="49" t="n"/>
      <c r="R323" s="56">
        <f>IF(Q323="","",IFERROR(VLOOKUP(Q323,Lookups!$A$2:$B$8,2,FALSE),""))</f>
        <v/>
      </c>
      <c r="S323" s="53">
        <f>IF(B323="","",B323&amp;"|"&amp;TEXT(C323,"00"))</f>
        <v/>
      </c>
      <c r="T323" s="53">
        <f>IF(B323="","",B323&amp;"|"&amp;TEXT(C323-1,"00"))</f>
        <v/>
      </c>
      <c r="U323" s="53">
        <f>IFERROR(INDEX($Q:$Q,MATCH(T323,$S:$S,0)),"")</f>
        <v/>
      </c>
      <c r="V323" s="56">
        <f>IFERROR(INDEX($R:$R,MATCH(T323,$S:$S,0)),"")</f>
        <v/>
      </c>
      <c r="W323" s="56">
        <f>IF(U323="","",IF(Q323&lt;&gt;U323,1,0))</f>
        <v/>
      </c>
      <c r="X323" s="56">
        <f>IF(V323="","",IF(R323&lt;V323,1,0))</f>
        <v/>
      </c>
      <c r="Y323" s="56">
        <f>IF(V323="","",IF(R323&gt;V323,1,0))</f>
        <v/>
      </c>
      <c r="Z323" s="56">
        <f>IF(Q323="Pass",1,0)</f>
        <v/>
      </c>
      <c r="AA323" s="50" t="n"/>
      <c r="AB323" s="50" t="n"/>
      <c r="AC323" s="49" t="n"/>
      <c r="AD323" s="50" t="n"/>
      <c r="AE323" s="49" t="n"/>
    </row>
    <row r="324" ht="15.75" customHeight="1" s="40">
      <c r="A324" s="48" t="n"/>
      <c r="B324" s="48" t="n"/>
      <c r="C324" s="47" t="n"/>
      <c r="D324" s="48" t="n"/>
      <c r="E324" s="48" t="n"/>
      <c r="F324" s="48" t="n"/>
      <c r="G324" s="47" t="n"/>
      <c r="H324" s="50" t="n"/>
      <c r="I324" s="50" t="n"/>
      <c r="J324" s="50" t="n"/>
      <c r="K324" s="50" t="n"/>
      <c r="L324" s="49" t="n"/>
      <c r="M324" s="49" t="n"/>
      <c r="N324" s="49" t="n"/>
      <c r="O324" s="49" t="n"/>
      <c r="P324" s="50" t="n"/>
      <c r="Q324" s="49" t="n"/>
      <c r="R324" s="56">
        <f>IF(Q324="","",IFERROR(VLOOKUP(Q324,Lookups!$A$2:$B$8,2,FALSE),""))</f>
        <v/>
      </c>
      <c r="S324" s="53">
        <f>IF(B324="","",B324&amp;"|"&amp;TEXT(C324,"00"))</f>
        <v/>
      </c>
      <c r="T324" s="53">
        <f>IF(B324="","",B324&amp;"|"&amp;TEXT(C324-1,"00"))</f>
        <v/>
      </c>
      <c r="U324" s="53">
        <f>IFERROR(INDEX($Q:$Q,MATCH(T324,$S:$S,0)),"")</f>
        <v/>
      </c>
      <c r="V324" s="56">
        <f>IFERROR(INDEX($R:$R,MATCH(T324,$S:$S,0)),"")</f>
        <v/>
      </c>
      <c r="W324" s="56">
        <f>IF(U324="","",IF(Q324&lt;&gt;U324,1,0))</f>
        <v/>
      </c>
      <c r="X324" s="56">
        <f>IF(V324="","",IF(R324&lt;V324,1,0))</f>
        <v/>
      </c>
      <c r="Y324" s="56">
        <f>IF(V324="","",IF(R324&gt;V324,1,0))</f>
        <v/>
      </c>
      <c r="Z324" s="56">
        <f>IF(Q324="Pass",1,0)</f>
        <v/>
      </c>
      <c r="AA324" s="50" t="n"/>
      <c r="AB324" s="50" t="n"/>
      <c r="AC324" s="49" t="n"/>
      <c r="AD324" s="50" t="n"/>
      <c r="AE324" s="49" t="n"/>
    </row>
    <row r="325" ht="15.75" customHeight="1" s="40">
      <c r="A325" s="48" t="n"/>
      <c r="B325" s="48" t="n"/>
      <c r="C325" s="47" t="n"/>
      <c r="D325" s="48" t="n"/>
      <c r="E325" s="48" t="n"/>
      <c r="F325" s="48" t="n"/>
      <c r="G325" s="47" t="n"/>
      <c r="H325" s="50" t="n"/>
      <c r="I325" s="50" t="n"/>
      <c r="J325" s="50" t="n"/>
      <c r="K325" s="50" t="n"/>
      <c r="L325" s="49" t="n"/>
      <c r="M325" s="49" t="n"/>
      <c r="N325" s="49" t="n"/>
      <c r="O325" s="49" t="n"/>
      <c r="P325" s="50" t="n"/>
      <c r="Q325" s="49" t="n"/>
      <c r="R325" s="56">
        <f>IF(Q325="","",IFERROR(VLOOKUP(Q325,Lookups!$A$2:$B$8,2,FALSE),""))</f>
        <v/>
      </c>
      <c r="S325" s="53">
        <f>IF(B325="","",B325&amp;"|"&amp;TEXT(C325,"00"))</f>
        <v/>
      </c>
      <c r="T325" s="53">
        <f>IF(B325="","",B325&amp;"|"&amp;TEXT(C325-1,"00"))</f>
        <v/>
      </c>
      <c r="U325" s="53">
        <f>IFERROR(INDEX($Q:$Q,MATCH(T325,$S:$S,0)),"")</f>
        <v/>
      </c>
      <c r="V325" s="56">
        <f>IFERROR(INDEX($R:$R,MATCH(T325,$S:$S,0)),"")</f>
        <v/>
      </c>
      <c r="W325" s="56">
        <f>IF(U325="","",IF(Q325&lt;&gt;U325,1,0))</f>
        <v/>
      </c>
      <c r="X325" s="56">
        <f>IF(V325="","",IF(R325&lt;V325,1,0))</f>
        <v/>
      </c>
      <c r="Y325" s="56">
        <f>IF(V325="","",IF(R325&gt;V325,1,0))</f>
        <v/>
      </c>
      <c r="Z325" s="56">
        <f>IF(Q325="Pass",1,0)</f>
        <v/>
      </c>
      <c r="AA325" s="50" t="n"/>
      <c r="AB325" s="50" t="n"/>
      <c r="AC325" s="49" t="n"/>
      <c r="AD325" s="50" t="n"/>
      <c r="AE325" s="49" t="n"/>
    </row>
    <row r="326" ht="15.75" customHeight="1" s="40">
      <c r="A326" s="48" t="n"/>
      <c r="B326" s="48" t="n"/>
      <c r="C326" s="47" t="n"/>
      <c r="D326" s="48" t="n"/>
      <c r="E326" s="48" t="n"/>
      <c r="F326" s="48" t="n"/>
      <c r="G326" s="47" t="n"/>
      <c r="H326" s="50" t="n"/>
      <c r="I326" s="50" t="n"/>
      <c r="J326" s="50" t="n"/>
      <c r="K326" s="50" t="n"/>
      <c r="L326" s="49" t="n"/>
      <c r="M326" s="49" t="n"/>
      <c r="N326" s="49" t="n"/>
      <c r="O326" s="49" t="n"/>
      <c r="P326" s="50" t="n"/>
      <c r="Q326" s="49" t="n"/>
      <c r="R326" s="56">
        <f>IF(Q326="","",IFERROR(VLOOKUP(Q326,Lookups!$A$2:$B$8,2,FALSE),""))</f>
        <v/>
      </c>
      <c r="S326" s="53">
        <f>IF(B326="","",B326&amp;"|"&amp;TEXT(C326,"00"))</f>
        <v/>
      </c>
      <c r="T326" s="53">
        <f>IF(B326="","",B326&amp;"|"&amp;TEXT(C326-1,"00"))</f>
        <v/>
      </c>
      <c r="U326" s="53">
        <f>IFERROR(INDEX($Q:$Q,MATCH(T326,$S:$S,0)),"")</f>
        <v/>
      </c>
      <c r="V326" s="56">
        <f>IFERROR(INDEX($R:$R,MATCH(T326,$S:$S,0)),"")</f>
        <v/>
      </c>
      <c r="W326" s="56">
        <f>IF(U326="","",IF(Q326&lt;&gt;U326,1,0))</f>
        <v/>
      </c>
      <c r="X326" s="56">
        <f>IF(V326="","",IF(R326&lt;V326,1,0))</f>
        <v/>
      </c>
      <c r="Y326" s="56">
        <f>IF(V326="","",IF(R326&gt;V326,1,0))</f>
        <v/>
      </c>
      <c r="Z326" s="56">
        <f>IF(Q326="Pass",1,0)</f>
        <v/>
      </c>
      <c r="AA326" s="50" t="n"/>
      <c r="AB326" s="50" t="n"/>
      <c r="AC326" s="49" t="n"/>
      <c r="AD326" s="50" t="n"/>
      <c r="AE326" s="49" t="n"/>
    </row>
    <row r="327" ht="15.75" customHeight="1" s="40">
      <c r="A327" s="48" t="n"/>
      <c r="B327" s="48" t="n"/>
      <c r="C327" s="47" t="n"/>
      <c r="D327" s="48" t="n"/>
      <c r="E327" s="48" t="n"/>
      <c r="F327" s="48" t="n"/>
      <c r="G327" s="47" t="n"/>
      <c r="H327" s="50" t="n"/>
      <c r="I327" s="50" t="n"/>
      <c r="J327" s="50" t="n"/>
      <c r="K327" s="50" t="n"/>
      <c r="L327" s="49" t="n"/>
      <c r="M327" s="49" t="n"/>
      <c r="N327" s="49" t="n"/>
      <c r="O327" s="49" t="n"/>
      <c r="P327" s="50" t="n"/>
      <c r="Q327" s="49" t="n"/>
      <c r="R327" s="56">
        <f>IF(Q327="","",IFERROR(VLOOKUP(Q327,Lookups!$A$2:$B$8,2,FALSE),""))</f>
        <v/>
      </c>
      <c r="S327" s="53">
        <f>IF(B327="","",B327&amp;"|"&amp;TEXT(C327,"00"))</f>
        <v/>
      </c>
      <c r="T327" s="53">
        <f>IF(B327="","",B327&amp;"|"&amp;TEXT(C327-1,"00"))</f>
        <v/>
      </c>
      <c r="U327" s="53">
        <f>IFERROR(INDEX($Q:$Q,MATCH(T327,$S:$S,0)),"")</f>
        <v/>
      </c>
      <c r="V327" s="56">
        <f>IFERROR(INDEX($R:$R,MATCH(T327,$S:$S,0)),"")</f>
        <v/>
      </c>
      <c r="W327" s="56">
        <f>IF(U327="","",IF(Q327&lt;&gt;U327,1,0))</f>
        <v/>
      </c>
      <c r="X327" s="56">
        <f>IF(V327="","",IF(R327&lt;V327,1,0))</f>
        <v/>
      </c>
      <c r="Y327" s="56">
        <f>IF(V327="","",IF(R327&gt;V327,1,0))</f>
        <v/>
      </c>
      <c r="Z327" s="56">
        <f>IF(Q327="Pass",1,0)</f>
        <v/>
      </c>
      <c r="AA327" s="50" t="n"/>
      <c r="AB327" s="50" t="n"/>
      <c r="AC327" s="49" t="n"/>
      <c r="AD327" s="50" t="n"/>
      <c r="AE327" s="49" t="n"/>
    </row>
    <row r="328" ht="15.75" customHeight="1" s="40">
      <c r="A328" s="48" t="n"/>
      <c r="B328" s="48" t="n"/>
      <c r="C328" s="47" t="n"/>
      <c r="D328" s="48" t="n"/>
      <c r="E328" s="48" t="n"/>
      <c r="F328" s="48" t="n"/>
      <c r="G328" s="47" t="n"/>
      <c r="H328" s="50" t="n"/>
      <c r="I328" s="50" t="n"/>
      <c r="J328" s="50" t="n"/>
      <c r="K328" s="50" t="n"/>
      <c r="L328" s="49" t="n"/>
      <c r="M328" s="49" t="n"/>
      <c r="N328" s="49" t="n"/>
      <c r="O328" s="49" t="n"/>
      <c r="P328" s="50" t="n"/>
      <c r="Q328" s="49" t="n"/>
      <c r="R328" s="56">
        <f>IF(Q328="","",IFERROR(VLOOKUP(Q328,Lookups!$A$2:$B$8,2,FALSE),""))</f>
        <v/>
      </c>
      <c r="S328" s="53">
        <f>IF(B328="","",B328&amp;"|"&amp;TEXT(C328,"00"))</f>
        <v/>
      </c>
      <c r="T328" s="53">
        <f>IF(B328="","",B328&amp;"|"&amp;TEXT(C328-1,"00"))</f>
        <v/>
      </c>
      <c r="U328" s="53">
        <f>IFERROR(INDEX($Q:$Q,MATCH(T328,$S:$S,0)),"")</f>
        <v/>
      </c>
      <c r="V328" s="56">
        <f>IFERROR(INDEX($R:$R,MATCH(T328,$S:$S,0)),"")</f>
        <v/>
      </c>
      <c r="W328" s="56">
        <f>IF(U328="","",IF(Q328&lt;&gt;U328,1,0))</f>
        <v/>
      </c>
      <c r="X328" s="56">
        <f>IF(V328="","",IF(R328&lt;V328,1,0))</f>
        <v/>
      </c>
      <c r="Y328" s="56">
        <f>IF(V328="","",IF(R328&gt;V328,1,0))</f>
        <v/>
      </c>
      <c r="Z328" s="56">
        <f>IF(Q328="Pass",1,0)</f>
        <v/>
      </c>
      <c r="AA328" s="50" t="n"/>
      <c r="AB328" s="50" t="n"/>
      <c r="AC328" s="49" t="n"/>
      <c r="AD328" s="50" t="n"/>
      <c r="AE328" s="49" t="n"/>
    </row>
    <row r="329" ht="15.75" customHeight="1" s="40">
      <c r="A329" s="48" t="n"/>
      <c r="B329" s="48" t="n"/>
      <c r="C329" s="47" t="n"/>
      <c r="D329" s="48" t="n"/>
      <c r="E329" s="48" t="n"/>
      <c r="F329" s="48" t="n"/>
      <c r="G329" s="47" t="n"/>
      <c r="H329" s="50" t="n"/>
      <c r="I329" s="50" t="n"/>
      <c r="J329" s="50" t="n"/>
      <c r="K329" s="50" t="n"/>
      <c r="L329" s="49" t="n"/>
      <c r="M329" s="49" t="n"/>
      <c r="N329" s="49" t="n"/>
      <c r="O329" s="49" t="n"/>
      <c r="P329" s="50" t="n"/>
      <c r="Q329" s="49" t="n"/>
      <c r="R329" s="56">
        <f>IF(Q329="","",IFERROR(VLOOKUP(Q329,Lookups!$A$2:$B$8,2,FALSE),""))</f>
        <v/>
      </c>
      <c r="S329" s="53">
        <f>IF(B329="","",B329&amp;"|"&amp;TEXT(C329,"00"))</f>
        <v/>
      </c>
      <c r="T329" s="53">
        <f>IF(B329="","",B329&amp;"|"&amp;TEXT(C329-1,"00"))</f>
        <v/>
      </c>
      <c r="U329" s="53">
        <f>IFERROR(INDEX($Q:$Q,MATCH(T329,$S:$S,0)),"")</f>
        <v/>
      </c>
      <c r="V329" s="56">
        <f>IFERROR(INDEX($R:$R,MATCH(T329,$S:$S,0)),"")</f>
        <v/>
      </c>
      <c r="W329" s="56">
        <f>IF(U329="","",IF(Q329&lt;&gt;U329,1,0))</f>
        <v/>
      </c>
      <c r="X329" s="56">
        <f>IF(V329="","",IF(R329&lt;V329,1,0))</f>
        <v/>
      </c>
      <c r="Y329" s="56">
        <f>IF(V329="","",IF(R329&gt;V329,1,0))</f>
        <v/>
      </c>
      <c r="Z329" s="56">
        <f>IF(Q329="Pass",1,0)</f>
        <v/>
      </c>
      <c r="AA329" s="50" t="n"/>
      <c r="AB329" s="50" t="n"/>
      <c r="AC329" s="49" t="n"/>
      <c r="AD329" s="50" t="n"/>
      <c r="AE329" s="49" t="n"/>
    </row>
    <row r="330" ht="15.75" customHeight="1" s="40">
      <c r="A330" s="48" t="n"/>
      <c r="B330" s="48" t="n"/>
      <c r="C330" s="47" t="n"/>
      <c r="D330" s="48" t="n"/>
      <c r="E330" s="48" t="n"/>
      <c r="F330" s="48" t="n"/>
      <c r="G330" s="47" t="n"/>
      <c r="H330" s="50" t="n"/>
      <c r="I330" s="50" t="n"/>
      <c r="J330" s="50" t="n"/>
      <c r="K330" s="50" t="n"/>
      <c r="L330" s="49" t="n"/>
      <c r="M330" s="49" t="n"/>
      <c r="N330" s="49" t="n"/>
      <c r="O330" s="49" t="n"/>
      <c r="P330" s="50" t="n"/>
      <c r="Q330" s="49" t="n"/>
      <c r="R330" s="56">
        <f>IF(Q330="","",IFERROR(VLOOKUP(Q330,Lookups!$A$2:$B$8,2,FALSE),""))</f>
        <v/>
      </c>
      <c r="S330" s="53">
        <f>IF(B330="","",B330&amp;"|"&amp;TEXT(C330,"00"))</f>
        <v/>
      </c>
      <c r="T330" s="53">
        <f>IF(B330="","",B330&amp;"|"&amp;TEXT(C330-1,"00"))</f>
        <v/>
      </c>
      <c r="U330" s="53">
        <f>IFERROR(INDEX($Q:$Q,MATCH(T330,$S:$S,0)),"")</f>
        <v/>
      </c>
      <c r="V330" s="56">
        <f>IFERROR(INDEX($R:$R,MATCH(T330,$S:$S,0)),"")</f>
        <v/>
      </c>
      <c r="W330" s="56">
        <f>IF(U330="","",IF(Q330&lt;&gt;U330,1,0))</f>
        <v/>
      </c>
      <c r="X330" s="56">
        <f>IF(V330="","",IF(R330&lt;V330,1,0))</f>
        <v/>
      </c>
      <c r="Y330" s="56">
        <f>IF(V330="","",IF(R330&gt;V330,1,0))</f>
        <v/>
      </c>
      <c r="Z330" s="56">
        <f>IF(Q330="Pass",1,0)</f>
        <v/>
      </c>
      <c r="AA330" s="50" t="n"/>
      <c r="AB330" s="50" t="n"/>
      <c r="AC330" s="49" t="n"/>
      <c r="AD330" s="50" t="n"/>
      <c r="AE330" s="49" t="n"/>
    </row>
    <row r="331" ht="15.75" customHeight="1" s="40">
      <c r="A331" s="48" t="n"/>
      <c r="B331" s="48" t="n"/>
      <c r="C331" s="47" t="n"/>
      <c r="D331" s="48" t="n"/>
      <c r="E331" s="48" t="n"/>
      <c r="F331" s="48" t="n"/>
      <c r="G331" s="47" t="n"/>
      <c r="H331" s="50" t="n"/>
      <c r="I331" s="50" t="n"/>
      <c r="J331" s="50" t="n"/>
      <c r="K331" s="50" t="n"/>
      <c r="L331" s="49" t="n"/>
      <c r="M331" s="49" t="n"/>
      <c r="N331" s="49" t="n"/>
      <c r="O331" s="49" t="n"/>
      <c r="P331" s="50" t="n"/>
      <c r="Q331" s="49" t="n"/>
      <c r="R331" s="56">
        <f>IF(Q331="","",IFERROR(VLOOKUP(Q331,Lookups!$A$2:$B$8,2,FALSE),""))</f>
        <v/>
      </c>
      <c r="S331" s="53">
        <f>IF(B331="","",B331&amp;"|"&amp;TEXT(C331,"00"))</f>
        <v/>
      </c>
      <c r="T331" s="53">
        <f>IF(B331="","",B331&amp;"|"&amp;TEXT(C331-1,"00"))</f>
        <v/>
      </c>
      <c r="U331" s="53">
        <f>IFERROR(INDEX($Q:$Q,MATCH(T331,$S:$S,0)),"")</f>
        <v/>
      </c>
      <c r="V331" s="56">
        <f>IFERROR(INDEX($R:$R,MATCH(T331,$S:$S,0)),"")</f>
        <v/>
      </c>
      <c r="W331" s="56">
        <f>IF(U331="","",IF(Q331&lt;&gt;U331,1,0))</f>
        <v/>
      </c>
      <c r="X331" s="56">
        <f>IF(V331="","",IF(R331&lt;V331,1,0))</f>
        <v/>
      </c>
      <c r="Y331" s="56">
        <f>IF(V331="","",IF(R331&gt;V331,1,0))</f>
        <v/>
      </c>
      <c r="Z331" s="56">
        <f>IF(Q331="Pass",1,0)</f>
        <v/>
      </c>
      <c r="AA331" s="50" t="n"/>
      <c r="AB331" s="50" t="n"/>
      <c r="AC331" s="49" t="n"/>
      <c r="AD331" s="50" t="n"/>
      <c r="AE331" s="49" t="n"/>
    </row>
    <row r="332" ht="15.75" customHeight="1" s="40">
      <c r="A332" s="48" t="n"/>
      <c r="B332" s="48" t="n"/>
      <c r="C332" s="47" t="n"/>
      <c r="D332" s="48" t="n"/>
      <c r="E332" s="48" t="n"/>
      <c r="F332" s="48" t="n"/>
      <c r="G332" s="47" t="n"/>
      <c r="H332" s="50" t="n"/>
      <c r="I332" s="50" t="n"/>
      <c r="J332" s="50" t="n"/>
      <c r="K332" s="50" t="n"/>
      <c r="L332" s="49" t="n"/>
      <c r="M332" s="49" t="n"/>
      <c r="N332" s="49" t="n"/>
      <c r="O332" s="49" t="n"/>
      <c r="P332" s="50" t="n"/>
      <c r="Q332" s="49" t="n"/>
      <c r="R332" s="56">
        <f>IF(Q332="","",IFERROR(VLOOKUP(Q332,Lookups!$A$2:$B$8,2,FALSE),""))</f>
        <v/>
      </c>
      <c r="S332" s="53">
        <f>IF(B332="","",B332&amp;"|"&amp;TEXT(C332,"00"))</f>
        <v/>
      </c>
      <c r="T332" s="53">
        <f>IF(B332="","",B332&amp;"|"&amp;TEXT(C332-1,"00"))</f>
        <v/>
      </c>
      <c r="U332" s="53">
        <f>IFERROR(INDEX($Q:$Q,MATCH(T332,$S:$S,0)),"")</f>
        <v/>
      </c>
      <c r="V332" s="56">
        <f>IFERROR(INDEX($R:$R,MATCH(T332,$S:$S,0)),"")</f>
        <v/>
      </c>
      <c r="W332" s="56">
        <f>IF(U332="","",IF(Q332&lt;&gt;U332,1,0))</f>
        <v/>
      </c>
      <c r="X332" s="56">
        <f>IF(V332="","",IF(R332&lt;V332,1,0))</f>
        <v/>
      </c>
      <c r="Y332" s="56">
        <f>IF(V332="","",IF(R332&gt;V332,1,0))</f>
        <v/>
      </c>
      <c r="Z332" s="56">
        <f>IF(Q332="Pass",1,0)</f>
        <v/>
      </c>
      <c r="AA332" s="50" t="n"/>
      <c r="AB332" s="50" t="n"/>
      <c r="AC332" s="49" t="n"/>
      <c r="AD332" s="50" t="n"/>
      <c r="AE332" s="49" t="n"/>
    </row>
    <row r="333" ht="15.75" customHeight="1" s="40">
      <c r="A333" s="48" t="n"/>
      <c r="B333" s="48" t="n"/>
      <c r="C333" s="47" t="n"/>
      <c r="D333" s="48" t="n"/>
      <c r="E333" s="48" t="n"/>
      <c r="F333" s="48" t="n"/>
      <c r="G333" s="47" t="n"/>
      <c r="H333" s="50" t="n"/>
      <c r="I333" s="50" t="n"/>
      <c r="J333" s="50" t="n"/>
      <c r="K333" s="50" t="n"/>
      <c r="L333" s="49" t="n"/>
      <c r="M333" s="49" t="n"/>
      <c r="N333" s="49" t="n"/>
      <c r="O333" s="49" t="n"/>
      <c r="P333" s="50" t="n"/>
      <c r="Q333" s="49" t="n"/>
      <c r="R333" s="56">
        <f>IF(Q333="","",IFERROR(VLOOKUP(Q333,Lookups!$A$2:$B$8,2,FALSE),""))</f>
        <v/>
      </c>
      <c r="S333" s="53">
        <f>IF(B333="","",B333&amp;"|"&amp;TEXT(C333,"00"))</f>
        <v/>
      </c>
      <c r="T333" s="53">
        <f>IF(B333="","",B333&amp;"|"&amp;TEXT(C333-1,"00"))</f>
        <v/>
      </c>
      <c r="U333" s="53">
        <f>IFERROR(INDEX($Q:$Q,MATCH(T333,$S:$S,0)),"")</f>
        <v/>
      </c>
      <c r="V333" s="56">
        <f>IFERROR(INDEX($R:$R,MATCH(T333,$S:$S,0)),"")</f>
        <v/>
      </c>
      <c r="W333" s="56">
        <f>IF(U333="","",IF(Q333&lt;&gt;U333,1,0))</f>
        <v/>
      </c>
      <c r="X333" s="56">
        <f>IF(V333="","",IF(R333&lt;V333,1,0))</f>
        <v/>
      </c>
      <c r="Y333" s="56">
        <f>IF(V333="","",IF(R333&gt;V333,1,0))</f>
        <v/>
      </c>
      <c r="Z333" s="56">
        <f>IF(Q333="Pass",1,0)</f>
        <v/>
      </c>
      <c r="AA333" s="50" t="n"/>
      <c r="AB333" s="50" t="n"/>
      <c r="AC333" s="49" t="n"/>
      <c r="AD333" s="50" t="n"/>
      <c r="AE333" s="49" t="n"/>
    </row>
    <row r="334" ht="15.75" customHeight="1" s="40">
      <c r="A334" s="48" t="n"/>
      <c r="B334" s="48" t="n"/>
      <c r="C334" s="47" t="n"/>
      <c r="D334" s="48" t="n"/>
      <c r="E334" s="48" t="n"/>
      <c r="F334" s="48" t="n"/>
      <c r="G334" s="47" t="n"/>
      <c r="H334" s="50" t="n"/>
      <c r="I334" s="50" t="n"/>
      <c r="J334" s="50" t="n"/>
      <c r="K334" s="50" t="n"/>
      <c r="L334" s="49" t="n"/>
      <c r="M334" s="49" t="n"/>
      <c r="N334" s="49" t="n"/>
      <c r="O334" s="49" t="n"/>
      <c r="P334" s="50" t="n"/>
      <c r="Q334" s="49" t="n"/>
      <c r="R334" s="56">
        <f>IF(Q334="","",IFERROR(VLOOKUP(Q334,Lookups!$A$2:$B$8,2,FALSE),""))</f>
        <v/>
      </c>
      <c r="S334" s="53">
        <f>IF(B334="","",B334&amp;"|"&amp;TEXT(C334,"00"))</f>
        <v/>
      </c>
      <c r="T334" s="53">
        <f>IF(B334="","",B334&amp;"|"&amp;TEXT(C334-1,"00"))</f>
        <v/>
      </c>
      <c r="U334" s="53">
        <f>IFERROR(INDEX($Q:$Q,MATCH(T334,$S:$S,0)),"")</f>
        <v/>
      </c>
      <c r="V334" s="56">
        <f>IFERROR(INDEX($R:$R,MATCH(T334,$S:$S,0)),"")</f>
        <v/>
      </c>
      <c r="W334" s="56">
        <f>IF(U334="","",IF(Q334&lt;&gt;U334,1,0))</f>
        <v/>
      </c>
      <c r="X334" s="56">
        <f>IF(V334="","",IF(R334&lt;V334,1,0))</f>
        <v/>
      </c>
      <c r="Y334" s="56">
        <f>IF(V334="","",IF(R334&gt;V334,1,0))</f>
        <v/>
      </c>
      <c r="Z334" s="56">
        <f>IF(Q334="Pass",1,0)</f>
        <v/>
      </c>
      <c r="AA334" s="50" t="n"/>
      <c r="AB334" s="50" t="n"/>
      <c r="AC334" s="49" t="n"/>
      <c r="AD334" s="50" t="n"/>
      <c r="AE334" s="49" t="n"/>
    </row>
    <row r="335" ht="15.75" customHeight="1" s="40">
      <c r="A335" s="48" t="n"/>
      <c r="B335" s="48" t="n"/>
      <c r="C335" s="47" t="n"/>
      <c r="D335" s="48" t="n"/>
      <c r="E335" s="48" t="n"/>
      <c r="F335" s="48" t="n"/>
      <c r="G335" s="47" t="n"/>
      <c r="H335" s="50" t="n"/>
      <c r="I335" s="50" t="n"/>
      <c r="J335" s="50" t="n"/>
      <c r="K335" s="50" t="n"/>
      <c r="L335" s="49" t="n"/>
      <c r="M335" s="49" t="n"/>
      <c r="N335" s="49" t="n"/>
      <c r="O335" s="49" t="n"/>
      <c r="P335" s="50" t="n"/>
      <c r="Q335" s="49" t="n"/>
      <c r="R335" s="56">
        <f>IF(Q335="","",IFERROR(VLOOKUP(Q335,Lookups!$A$2:$B$8,2,FALSE),""))</f>
        <v/>
      </c>
      <c r="S335" s="53">
        <f>IF(B335="","",B335&amp;"|"&amp;TEXT(C335,"00"))</f>
        <v/>
      </c>
      <c r="T335" s="53">
        <f>IF(B335="","",B335&amp;"|"&amp;TEXT(C335-1,"00"))</f>
        <v/>
      </c>
      <c r="U335" s="53">
        <f>IFERROR(INDEX($Q:$Q,MATCH(T335,$S:$S,0)),"")</f>
        <v/>
      </c>
      <c r="V335" s="56">
        <f>IFERROR(INDEX($R:$R,MATCH(T335,$S:$S,0)),"")</f>
        <v/>
      </c>
      <c r="W335" s="56">
        <f>IF(U335="","",IF(Q335&lt;&gt;U335,1,0))</f>
        <v/>
      </c>
      <c r="X335" s="56">
        <f>IF(V335="","",IF(R335&lt;V335,1,0))</f>
        <v/>
      </c>
      <c r="Y335" s="56">
        <f>IF(V335="","",IF(R335&gt;V335,1,0))</f>
        <v/>
      </c>
      <c r="Z335" s="56">
        <f>IF(Q335="Pass",1,0)</f>
        <v/>
      </c>
      <c r="AA335" s="50" t="n"/>
      <c r="AB335" s="50" t="n"/>
      <c r="AC335" s="49" t="n"/>
      <c r="AD335" s="50" t="n"/>
      <c r="AE335" s="49" t="n"/>
    </row>
    <row r="336" ht="15.75" customHeight="1" s="40">
      <c r="A336" s="48" t="n"/>
      <c r="B336" s="48" t="n"/>
      <c r="C336" s="47" t="n"/>
      <c r="D336" s="48" t="n"/>
      <c r="E336" s="48" t="n"/>
      <c r="F336" s="48" t="n"/>
      <c r="G336" s="47" t="n"/>
      <c r="H336" s="50" t="n"/>
      <c r="I336" s="50" t="n"/>
      <c r="J336" s="50" t="n"/>
      <c r="K336" s="50" t="n"/>
      <c r="L336" s="49" t="n"/>
      <c r="M336" s="49" t="n"/>
      <c r="N336" s="49" t="n"/>
      <c r="O336" s="49" t="n"/>
      <c r="P336" s="50" t="n"/>
      <c r="Q336" s="49" t="n"/>
      <c r="R336" s="56">
        <f>IF(Q336="","",IFERROR(VLOOKUP(Q336,Lookups!$A$2:$B$8,2,FALSE),""))</f>
        <v/>
      </c>
      <c r="S336" s="53">
        <f>IF(B336="","",B336&amp;"|"&amp;TEXT(C336,"00"))</f>
        <v/>
      </c>
      <c r="T336" s="53">
        <f>IF(B336="","",B336&amp;"|"&amp;TEXT(C336-1,"00"))</f>
        <v/>
      </c>
      <c r="U336" s="53">
        <f>IFERROR(INDEX($Q:$Q,MATCH(T336,$S:$S,0)),"")</f>
        <v/>
      </c>
      <c r="V336" s="56">
        <f>IFERROR(INDEX($R:$R,MATCH(T336,$S:$S,0)),"")</f>
        <v/>
      </c>
      <c r="W336" s="56">
        <f>IF(U336="","",IF(Q336&lt;&gt;U336,1,0))</f>
        <v/>
      </c>
      <c r="X336" s="56">
        <f>IF(V336="","",IF(R336&lt;V336,1,0))</f>
        <v/>
      </c>
      <c r="Y336" s="56">
        <f>IF(V336="","",IF(R336&gt;V336,1,0))</f>
        <v/>
      </c>
      <c r="Z336" s="56">
        <f>IF(Q336="Pass",1,0)</f>
        <v/>
      </c>
      <c r="AA336" s="50" t="n"/>
      <c r="AB336" s="50" t="n"/>
      <c r="AC336" s="49" t="n"/>
      <c r="AD336" s="50" t="n"/>
      <c r="AE336" s="49" t="n"/>
    </row>
    <row r="337" ht="15.75" customHeight="1" s="40">
      <c r="A337" s="48" t="n"/>
      <c r="B337" s="48" t="n"/>
      <c r="C337" s="47" t="n"/>
      <c r="D337" s="48" t="n"/>
      <c r="E337" s="48" t="n"/>
      <c r="F337" s="48" t="n"/>
      <c r="G337" s="47" t="n"/>
      <c r="H337" s="50" t="n"/>
      <c r="I337" s="50" t="n"/>
      <c r="J337" s="50" t="n"/>
      <c r="K337" s="50" t="n"/>
      <c r="L337" s="49" t="n"/>
      <c r="M337" s="49" t="n"/>
      <c r="N337" s="49" t="n"/>
      <c r="O337" s="49" t="n"/>
      <c r="P337" s="50" t="n"/>
      <c r="Q337" s="49" t="n"/>
      <c r="R337" s="56">
        <f>IF(Q337="","",IFERROR(VLOOKUP(Q337,Lookups!$A$2:$B$8,2,FALSE),""))</f>
        <v/>
      </c>
      <c r="S337" s="53">
        <f>IF(B337="","",B337&amp;"|"&amp;TEXT(C337,"00"))</f>
        <v/>
      </c>
      <c r="T337" s="53">
        <f>IF(B337="","",B337&amp;"|"&amp;TEXT(C337-1,"00"))</f>
        <v/>
      </c>
      <c r="U337" s="53">
        <f>IFERROR(INDEX($Q:$Q,MATCH(T337,$S:$S,0)),"")</f>
        <v/>
      </c>
      <c r="V337" s="56">
        <f>IFERROR(INDEX($R:$R,MATCH(T337,$S:$S,0)),"")</f>
        <v/>
      </c>
      <c r="W337" s="56">
        <f>IF(U337="","",IF(Q337&lt;&gt;U337,1,0))</f>
        <v/>
      </c>
      <c r="X337" s="56">
        <f>IF(V337="","",IF(R337&lt;V337,1,0))</f>
        <v/>
      </c>
      <c r="Y337" s="56">
        <f>IF(V337="","",IF(R337&gt;V337,1,0))</f>
        <v/>
      </c>
      <c r="Z337" s="56">
        <f>IF(Q337="Pass",1,0)</f>
        <v/>
      </c>
      <c r="AA337" s="50" t="n"/>
      <c r="AB337" s="50" t="n"/>
      <c r="AC337" s="49" t="n"/>
      <c r="AD337" s="50" t="n"/>
      <c r="AE337" s="49" t="n"/>
    </row>
    <row r="338" ht="15.75" customHeight="1" s="40">
      <c r="A338" s="48" t="n"/>
      <c r="B338" s="48" t="n"/>
      <c r="C338" s="47" t="n"/>
      <c r="D338" s="48" t="n"/>
      <c r="E338" s="48" t="n"/>
      <c r="F338" s="48" t="n"/>
      <c r="G338" s="47" t="n"/>
      <c r="H338" s="50" t="n"/>
      <c r="I338" s="50" t="n"/>
      <c r="J338" s="50" t="n"/>
      <c r="K338" s="50" t="n"/>
      <c r="L338" s="49" t="n"/>
      <c r="M338" s="49" t="n"/>
      <c r="N338" s="49" t="n"/>
      <c r="O338" s="49" t="n"/>
      <c r="P338" s="50" t="n"/>
      <c r="Q338" s="49" t="n"/>
      <c r="R338" s="56">
        <f>IF(Q338="","",IFERROR(VLOOKUP(Q338,Lookups!$A$2:$B$8,2,FALSE),""))</f>
        <v/>
      </c>
      <c r="S338" s="53">
        <f>IF(B338="","",B338&amp;"|"&amp;TEXT(C338,"00"))</f>
        <v/>
      </c>
      <c r="T338" s="53">
        <f>IF(B338="","",B338&amp;"|"&amp;TEXT(C338-1,"00"))</f>
        <v/>
      </c>
      <c r="U338" s="53">
        <f>IFERROR(INDEX($Q:$Q,MATCH(T338,$S:$S,0)),"")</f>
        <v/>
      </c>
      <c r="V338" s="56">
        <f>IFERROR(INDEX($R:$R,MATCH(T338,$S:$S,0)),"")</f>
        <v/>
      </c>
      <c r="W338" s="56">
        <f>IF(U338="","",IF(Q338&lt;&gt;U338,1,0))</f>
        <v/>
      </c>
      <c r="X338" s="56">
        <f>IF(V338="","",IF(R338&lt;V338,1,0))</f>
        <v/>
      </c>
      <c r="Y338" s="56">
        <f>IF(V338="","",IF(R338&gt;V338,1,0))</f>
        <v/>
      </c>
      <c r="Z338" s="56">
        <f>IF(Q338="Pass",1,0)</f>
        <v/>
      </c>
      <c r="AA338" s="50" t="n"/>
      <c r="AB338" s="50" t="n"/>
      <c r="AC338" s="49" t="n"/>
      <c r="AD338" s="50" t="n"/>
      <c r="AE338" s="49" t="n"/>
    </row>
    <row r="339" ht="15.75" customHeight="1" s="40">
      <c r="A339" s="48" t="n"/>
      <c r="B339" s="48" t="n"/>
      <c r="C339" s="47" t="n"/>
      <c r="D339" s="48" t="n"/>
      <c r="E339" s="48" t="n"/>
      <c r="F339" s="48" t="n"/>
      <c r="G339" s="47" t="n"/>
      <c r="H339" s="50" t="n"/>
      <c r="I339" s="50" t="n"/>
      <c r="J339" s="50" t="n"/>
      <c r="K339" s="50" t="n"/>
      <c r="L339" s="49" t="n"/>
      <c r="M339" s="49" t="n"/>
      <c r="N339" s="49" t="n"/>
      <c r="O339" s="49" t="n"/>
      <c r="P339" s="50" t="n"/>
      <c r="Q339" s="49" t="n"/>
      <c r="R339" s="56">
        <f>IF(Q339="","",IFERROR(VLOOKUP(Q339,Lookups!$A$2:$B$8,2,FALSE),""))</f>
        <v/>
      </c>
      <c r="S339" s="53">
        <f>IF(B339="","",B339&amp;"|"&amp;TEXT(C339,"00"))</f>
        <v/>
      </c>
      <c r="T339" s="53">
        <f>IF(B339="","",B339&amp;"|"&amp;TEXT(C339-1,"00"))</f>
        <v/>
      </c>
      <c r="U339" s="53">
        <f>IFERROR(INDEX($Q:$Q,MATCH(T339,$S:$S,0)),"")</f>
        <v/>
      </c>
      <c r="V339" s="56">
        <f>IFERROR(INDEX($R:$R,MATCH(T339,$S:$S,0)),"")</f>
        <v/>
      </c>
      <c r="W339" s="56">
        <f>IF(U339="","",IF(Q339&lt;&gt;U339,1,0))</f>
        <v/>
      </c>
      <c r="X339" s="56">
        <f>IF(V339="","",IF(R339&lt;V339,1,0))</f>
        <v/>
      </c>
      <c r="Y339" s="56">
        <f>IF(V339="","",IF(R339&gt;V339,1,0))</f>
        <v/>
      </c>
      <c r="Z339" s="56">
        <f>IF(Q339="Pass",1,0)</f>
        <v/>
      </c>
      <c r="AA339" s="50" t="n"/>
      <c r="AB339" s="50" t="n"/>
      <c r="AC339" s="49" t="n"/>
      <c r="AD339" s="50" t="n"/>
      <c r="AE339" s="49" t="n"/>
    </row>
    <row r="340" ht="15.75" customHeight="1" s="40">
      <c r="A340" s="48" t="n"/>
      <c r="B340" s="48" t="n"/>
      <c r="C340" s="47" t="n"/>
      <c r="D340" s="48" t="n"/>
      <c r="E340" s="48" t="n"/>
      <c r="F340" s="48" t="n"/>
      <c r="G340" s="47" t="n"/>
      <c r="H340" s="50" t="n"/>
      <c r="I340" s="50" t="n"/>
      <c r="J340" s="50" t="n"/>
      <c r="K340" s="50" t="n"/>
      <c r="L340" s="49" t="n"/>
      <c r="M340" s="49" t="n"/>
      <c r="N340" s="49" t="n"/>
      <c r="O340" s="49" t="n"/>
      <c r="P340" s="50" t="n"/>
      <c r="Q340" s="49" t="n"/>
      <c r="R340" s="56">
        <f>IF(Q340="","",IFERROR(VLOOKUP(Q340,Lookups!$A$2:$B$8,2,FALSE),""))</f>
        <v/>
      </c>
      <c r="S340" s="53">
        <f>IF(B340="","",B340&amp;"|"&amp;TEXT(C340,"00"))</f>
        <v/>
      </c>
      <c r="T340" s="53">
        <f>IF(B340="","",B340&amp;"|"&amp;TEXT(C340-1,"00"))</f>
        <v/>
      </c>
      <c r="U340" s="53">
        <f>IFERROR(INDEX($Q:$Q,MATCH(T340,$S:$S,0)),"")</f>
        <v/>
      </c>
      <c r="V340" s="56">
        <f>IFERROR(INDEX($R:$R,MATCH(T340,$S:$S,0)),"")</f>
        <v/>
      </c>
      <c r="W340" s="56">
        <f>IF(U340="","",IF(Q340&lt;&gt;U340,1,0))</f>
        <v/>
      </c>
      <c r="X340" s="56">
        <f>IF(V340="","",IF(R340&lt;V340,1,0))</f>
        <v/>
      </c>
      <c r="Y340" s="56">
        <f>IF(V340="","",IF(R340&gt;V340,1,0))</f>
        <v/>
      </c>
      <c r="Z340" s="56">
        <f>IF(Q340="Pass",1,0)</f>
        <v/>
      </c>
      <c r="AA340" s="50" t="n"/>
      <c r="AB340" s="50" t="n"/>
      <c r="AC340" s="49" t="n"/>
      <c r="AD340" s="50" t="n"/>
      <c r="AE340" s="49" t="n"/>
    </row>
    <row r="341" ht="15.75" customHeight="1" s="40">
      <c r="A341" s="48" t="n"/>
      <c r="B341" s="48" t="n"/>
      <c r="C341" s="47" t="n"/>
      <c r="D341" s="48" t="n"/>
      <c r="E341" s="48" t="n"/>
      <c r="F341" s="48" t="n"/>
      <c r="G341" s="47" t="n"/>
      <c r="H341" s="50" t="n"/>
      <c r="I341" s="50" t="n"/>
      <c r="J341" s="50" t="n"/>
      <c r="K341" s="50" t="n"/>
      <c r="L341" s="49" t="n"/>
      <c r="M341" s="49" t="n"/>
      <c r="N341" s="49" t="n"/>
      <c r="O341" s="49" t="n"/>
      <c r="P341" s="50" t="n"/>
      <c r="Q341" s="49" t="n"/>
      <c r="R341" s="56">
        <f>IF(Q341="","",IFERROR(VLOOKUP(Q341,Lookups!$A$2:$B$8,2,FALSE),""))</f>
        <v/>
      </c>
      <c r="S341" s="53">
        <f>IF(B341="","",B341&amp;"|"&amp;TEXT(C341,"00"))</f>
        <v/>
      </c>
      <c r="T341" s="53">
        <f>IF(B341="","",B341&amp;"|"&amp;TEXT(C341-1,"00"))</f>
        <v/>
      </c>
      <c r="U341" s="53">
        <f>IFERROR(INDEX($Q:$Q,MATCH(T341,$S:$S,0)),"")</f>
        <v/>
      </c>
      <c r="V341" s="56">
        <f>IFERROR(INDEX($R:$R,MATCH(T341,$S:$S,0)),"")</f>
        <v/>
      </c>
      <c r="W341" s="56">
        <f>IF(U341="","",IF(Q341&lt;&gt;U341,1,0))</f>
        <v/>
      </c>
      <c r="X341" s="56">
        <f>IF(V341="","",IF(R341&lt;V341,1,0))</f>
        <v/>
      </c>
      <c r="Y341" s="56">
        <f>IF(V341="","",IF(R341&gt;V341,1,0))</f>
        <v/>
      </c>
      <c r="Z341" s="56">
        <f>IF(Q341="Pass",1,0)</f>
        <v/>
      </c>
      <c r="AA341" s="50" t="n"/>
      <c r="AB341" s="50" t="n"/>
      <c r="AC341" s="49" t="n"/>
      <c r="AD341" s="50" t="n"/>
      <c r="AE341" s="49" t="n"/>
    </row>
    <row r="342" ht="15.75" customHeight="1" s="40">
      <c r="A342" s="48" t="n"/>
      <c r="B342" s="48" t="n"/>
      <c r="C342" s="47" t="n"/>
      <c r="D342" s="48" t="n"/>
      <c r="E342" s="48" t="n"/>
      <c r="F342" s="48" t="n"/>
      <c r="G342" s="47" t="n"/>
      <c r="H342" s="50" t="n"/>
      <c r="I342" s="50" t="n"/>
      <c r="J342" s="50" t="n"/>
      <c r="K342" s="50" t="n"/>
      <c r="L342" s="49" t="n"/>
      <c r="M342" s="49" t="n"/>
      <c r="N342" s="49" t="n"/>
      <c r="O342" s="49" t="n"/>
      <c r="P342" s="50" t="n"/>
      <c r="Q342" s="49" t="n"/>
      <c r="R342" s="56">
        <f>IF(Q342="","",IFERROR(VLOOKUP(Q342,Lookups!$A$2:$B$8,2,FALSE),""))</f>
        <v/>
      </c>
      <c r="S342" s="53">
        <f>IF(B342="","",B342&amp;"|"&amp;TEXT(C342,"00"))</f>
        <v/>
      </c>
      <c r="T342" s="53">
        <f>IF(B342="","",B342&amp;"|"&amp;TEXT(C342-1,"00"))</f>
        <v/>
      </c>
      <c r="U342" s="53">
        <f>IFERROR(INDEX($Q:$Q,MATCH(T342,$S:$S,0)),"")</f>
        <v/>
      </c>
      <c r="V342" s="56">
        <f>IFERROR(INDEX($R:$R,MATCH(T342,$S:$S,0)),"")</f>
        <v/>
      </c>
      <c r="W342" s="56">
        <f>IF(U342="","",IF(Q342&lt;&gt;U342,1,0))</f>
        <v/>
      </c>
      <c r="X342" s="56">
        <f>IF(V342="","",IF(R342&lt;V342,1,0))</f>
        <v/>
      </c>
      <c r="Y342" s="56">
        <f>IF(V342="","",IF(R342&gt;V342,1,0))</f>
        <v/>
      </c>
      <c r="Z342" s="56">
        <f>IF(Q342="Pass",1,0)</f>
        <v/>
      </c>
      <c r="AA342" s="50" t="n"/>
      <c r="AB342" s="50" t="n"/>
      <c r="AC342" s="49" t="n"/>
      <c r="AD342" s="50" t="n"/>
      <c r="AE342" s="49" t="n"/>
    </row>
    <row r="343" ht="15.75" customHeight="1" s="40">
      <c r="A343" s="48" t="n"/>
      <c r="B343" s="48" t="n"/>
      <c r="C343" s="47" t="n"/>
      <c r="D343" s="48" t="n"/>
      <c r="E343" s="48" t="n"/>
      <c r="F343" s="48" t="n"/>
      <c r="G343" s="47" t="n"/>
      <c r="H343" s="50" t="n"/>
      <c r="I343" s="50" t="n"/>
      <c r="J343" s="50" t="n"/>
      <c r="K343" s="50" t="n"/>
      <c r="L343" s="49" t="n"/>
      <c r="M343" s="49" t="n"/>
      <c r="N343" s="49" t="n"/>
      <c r="O343" s="49" t="n"/>
      <c r="P343" s="50" t="n"/>
      <c r="Q343" s="49" t="n"/>
      <c r="R343" s="56">
        <f>IF(Q343="","",IFERROR(VLOOKUP(Q343,Lookups!$A$2:$B$8,2,FALSE),""))</f>
        <v/>
      </c>
      <c r="S343" s="53">
        <f>IF(B343="","",B343&amp;"|"&amp;TEXT(C343,"00"))</f>
        <v/>
      </c>
      <c r="T343" s="53">
        <f>IF(B343="","",B343&amp;"|"&amp;TEXT(C343-1,"00"))</f>
        <v/>
      </c>
      <c r="U343" s="53">
        <f>IFERROR(INDEX($Q:$Q,MATCH(T343,$S:$S,0)),"")</f>
        <v/>
      </c>
      <c r="V343" s="56">
        <f>IFERROR(INDEX($R:$R,MATCH(T343,$S:$S,0)),"")</f>
        <v/>
      </c>
      <c r="W343" s="56">
        <f>IF(U343="","",IF(Q343&lt;&gt;U343,1,0))</f>
        <v/>
      </c>
      <c r="X343" s="56">
        <f>IF(V343="","",IF(R343&lt;V343,1,0))</f>
        <v/>
      </c>
      <c r="Y343" s="56">
        <f>IF(V343="","",IF(R343&gt;V343,1,0))</f>
        <v/>
      </c>
      <c r="Z343" s="56">
        <f>IF(Q343="Pass",1,0)</f>
        <v/>
      </c>
      <c r="AA343" s="50" t="n"/>
      <c r="AB343" s="50" t="n"/>
      <c r="AC343" s="49" t="n"/>
      <c r="AD343" s="50" t="n"/>
      <c r="AE343" s="49" t="n"/>
    </row>
    <row r="344" ht="15.75" customHeight="1" s="40">
      <c r="A344" s="48" t="n"/>
      <c r="B344" s="48" t="n"/>
      <c r="C344" s="47" t="n"/>
      <c r="D344" s="48" t="n"/>
      <c r="E344" s="48" t="n"/>
      <c r="F344" s="48" t="n"/>
      <c r="G344" s="47" t="n"/>
      <c r="H344" s="50" t="n"/>
      <c r="I344" s="50" t="n"/>
      <c r="J344" s="50" t="n"/>
      <c r="K344" s="50" t="n"/>
      <c r="L344" s="49" t="n"/>
      <c r="M344" s="49" t="n"/>
      <c r="N344" s="49" t="n"/>
      <c r="O344" s="49" t="n"/>
      <c r="P344" s="50" t="n"/>
      <c r="Q344" s="49" t="n"/>
      <c r="R344" s="56">
        <f>IF(Q344="","",IFERROR(VLOOKUP(Q344,Lookups!$A$2:$B$8,2,FALSE),""))</f>
        <v/>
      </c>
      <c r="S344" s="53">
        <f>IF(B344="","",B344&amp;"|"&amp;TEXT(C344,"00"))</f>
        <v/>
      </c>
      <c r="T344" s="53">
        <f>IF(B344="","",B344&amp;"|"&amp;TEXT(C344-1,"00"))</f>
        <v/>
      </c>
      <c r="U344" s="53">
        <f>IFERROR(INDEX($Q:$Q,MATCH(T344,$S:$S,0)),"")</f>
        <v/>
      </c>
      <c r="V344" s="56">
        <f>IFERROR(INDEX($R:$R,MATCH(T344,$S:$S,0)),"")</f>
        <v/>
      </c>
      <c r="W344" s="56">
        <f>IF(U344="","",IF(Q344&lt;&gt;U344,1,0))</f>
        <v/>
      </c>
      <c r="X344" s="56">
        <f>IF(V344="","",IF(R344&lt;V344,1,0))</f>
        <v/>
      </c>
      <c r="Y344" s="56">
        <f>IF(V344="","",IF(R344&gt;V344,1,0))</f>
        <v/>
      </c>
      <c r="Z344" s="56">
        <f>IF(Q344="Pass",1,0)</f>
        <v/>
      </c>
      <c r="AA344" s="50" t="n"/>
      <c r="AB344" s="50" t="n"/>
      <c r="AC344" s="49" t="n"/>
      <c r="AD344" s="50" t="n"/>
      <c r="AE344" s="49" t="n"/>
    </row>
    <row r="345" ht="15.75" customHeight="1" s="40">
      <c r="A345" s="48" t="n"/>
      <c r="B345" s="48" t="n"/>
      <c r="C345" s="47" t="n"/>
      <c r="D345" s="48" t="n"/>
      <c r="E345" s="48" t="n"/>
      <c r="F345" s="48" t="n"/>
      <c r="G345" s="47" t="n"/>
      <c r="H345" s="50" t="n"/>
      <c r="I345" s="50" t="n"/>
      <c r="J345" s="50" t="n"/>
      <c r="K345" s="50" t="n"/>
      <c r="L345" s="49" t="n"/>
      <c r="M345" s="49" t="n"/>
      <c r="N345" s="49" t="n"/>
      <c r="O345" s="49" t="n"/>
      <c r="P345" s="50" t="n"/>
      <c r="Q345" s="49" t="n"/>
      <c r="R345" s="56">
        <f>IF(Q345="","",IFERROR(VLOOKUP(Q345,Lookups!$A$2:$B$8,2,FALSE),""))</f>
        <v/>
      </c>
      <c r="S345" s="53">
        <f>IF(B345="","",B345&amp;"|"&amp;TEXT(C345,"00"))</f>
        <v/>
      </c>
      <c r="T345" s="53">
        <f>IF(B345="","",B345&amp;"|"&amp;TEXT(C345-1,"00"))</f>
        <v/>
      </c>
      <c r="U345" s="53">
        <f>IFERROR(INDEX($Q:$Q,MATCH(T345,$S:$S,0)),"")</f>
        <v/>
      </c>
      <c r="V345" s="56">
        <f>IFERROR(INDEX($R:$R,MATCH(T345,$S:$S,0)),"")</f>
        <v/>
      </c>
      <c r="W345" s="56">
        <f>IF(U345="","",IF(Q345&lt;&gt;U345,1,0))</f>
        <v/>
      </c>
      <c r="X345" s="56">
        <f>IF(V345="","",IF(R345&lt;V345,1,0))</f>
        <v/>
      </c>
      <c r="Y345" s="56">
        <f>IF(V345="","",IF(R345&gt;V345,1,0))</f>
        <v/>
      </c>
      <c r="Z345" s="56">
        <f>IF(Q345="Pass",1,0)</f>
        <v/>
      </c>
      <c r="AA345" s="50" t="n"/>
      <c r="AB345" s="50" t="n"/>
      <c r="AC345" s="49" t="n"/>
      <c r="AD345" s="50" t="n"/>
      <c r="AE345" s="49" t="n"/>
    </row>
    <row r="346" ht="15.75" customHeight="1" s="40">
      <c r="A346" s="48" t="n"/>
      <c r="B346" s="48" t="n"/>
      <c r="C346" s="47" t="n"/>
      <c r="D346" s="48" t="n"/>
      <c r="E346" s="48" t="n"/>
      <c r="F346" s="48" t="n"/>
      <c r="G346" s="47" t="n"/>
      <c r="H346" s="50" t="n"/>
      <c r="I346" s="50" t="n"/>
      <c r="J346" s="50" t="n"/>
      <c r="K346" s="50" t="n"/>
      <c r="L346" s="49" t="n"/>
      <c r="M346" s="49" t="n"/>
      <c r="N346" s="49" t="n"/>
      <c r="O346" s="49" t="n"/>
      <c r="P346" s="50" t="n"/>
      <c r="Q346" s="49" t="n"/>
      <c r="R346" s="56">
        <f>IF(Q346="","",IFERROR(VLOOKUP(Q346,Lookups!$A$2:$B$8,2,FALSE),""))</f>
        <v/>
      </c>
      <c r="S346" s="53">
        <f>IF(B346="","",B346&amp;"|"&amp;TEXT(C346,"00"))</f>
        <v/>
      </c>
      <c r="T346" s="53">
        <f>IF(B346="","",B346&amp;"|"&amp;TEXT(C346-1,"00"))</f>
        <v/>
      </c>
      <c r="U346" s="53">
        <f>IFERROR(INDEX($Q:$Q,MATCH(T346,$S:$S,0)),"")</f>
        <v/>
      </c>
      <c r="V346" s="56">
        <f>IFERROR(INDEX($R:$R,MATCH(T346,$S:$S,0)),"")</f>
        <v/>
      </c>
      <c r="W346" s="56">
        <f>IF(U346="","",IF(Q346&lt;&gt;U346,1,0))</f>
        <v/>
      </c>
      <c r="X346" s="56">
        <f>IF(V346="","",IF(R346&lt;V346,1,0))</f>
        <v/>
      </c>
      <c r="Y346" s="56">
        <f>IF(V346="","",IF(R346&gt;V346,1,0))</f>
        <v/>
      </c>
      <c r="Z346" s="56">
        <f>IF(Q346="Pass",1,0)</f>
        <v/>
      </c>
      <c r="AA346" s="50" t="n"/>
      <c r="AB346" s="50" t="n"/>
      <c r="AC346" s="49" t="n"/>
      <c r="AD346" s="50" t="n"/>
      <c r="AE346" s="49" t="n"/>
    </row>
    <row r="347" ht="15.75" customHeight="1" s="40">
      <c r="A347" s="48" t="n"/>
      <c r="B347" s="48" t="n"/>
      <c r="C347" s="47" t="n"/>
      <c r="D347" s="48" t="n"/>
      <c r="E347" s="48" t="n"/>
      <c r="F347" s="48" t="n"/>
      <c r="G347" s="47" t="n"/>
      <c r="H347" s="50" t="n"/>
      <c r="I347" s="50" t="n"/>
      <c r="J347" s="50" t="n"/>
      <c r="K347" s="50" t="n"/>
      <c r="L347" s="49" t="n"/>
      <c r="M347" s="49" t="n"/>
      <c r="N347" s="49" t="n"/>
      <c r="O347" s="49" t="n"/>
      <c r="P347" s="50" t="n"/>
      <c r="Q347" s="49" t="n"/>
      <c r="R347" s="56">
        <f>IF(Q347="","",IFERROR(VLOOKUP(Q347,Lookups!$A$2:$B$8,2,FALSE),""))</f>
        <v/>
      </c>
      <c r="S347" s="53">
        <f>IF(B347="","",B347&amp;"|"&amp;TEXT(C347,"00"))</f>
        <v/>
      </c>
      <c r="T347" s="53">
        <f>IF(B347="","",B347&amp;"|"&amp;TEXT(C347-1,"00"))</f>
        <v/>
      </c>
      <c r="U347" s="53">
        <f>IFERROR(INDEX($Q:$Q,MATCH(T347,$S:$S,0)),"")</f>
        <v/>
      </c>
      <c r="V347" s="56">
        <f>IFERROR(INDEX($R:$R,MATCH(T347,$S:$S,0)),"")</f>
        <v/>
      </c>
      <c r="W347" s="56">
        <f>IF(U347="","",IF(Q347&lt;&gt;U347,1,0))</f>
        <v/>
      </c>
      <c r="X347" s="56">
        <f>IF(V347="","",IF(R347&lt;V347,1,0))</f>
        <v/>
      </c>
      <c r="Y347" s="56">
        <f>IF(V347="","",IF(R347&gt;V347,1,0))</f>
        <v/>
      </c>
      <c r="Z347" s="56">
        <f>IF(Q347="Pass",1,0)</f>
        <v/>
      </c>
      <c r="AA347" s="50" t="n"/>
      <c r="AB347" s="50" t="n"/>
      <c r="AC347" s="49" t="n"/>
      <c r="AD347" s="50" t="n"/>
      <c r="AE347" s="49" t="n"/>
    </row>
    <row r="348" ht="15.75" customHeight="1" s="40">
      <c r="A348" s="48" t="n"/>
      <c r="B348" s="48" t="n"/>
      <c r="C348" s="47" t="n"/>
      <c r="D348" s="48" t="n"/>
      <c r="E348" s="48" t="n"/>
      <c r="F348" s="48" t="n"/>
      <c r="G348" s="47" t="n"/>
      <c r="H348" s="50" t="n"/>
      <c r="I348" s="50" t="n"/>
      <c r="J348" s="50" t="n"/>
      <c r="K348" s="50" t="n"/>
      <c r="L348" s="49" t="n"/>
      <c r="M348" s="49" t="n"/>
      <c r="N348" s="49" t="n"/>
      <c r="O348" s="49" t="n"/>
      <c r="P348" s="50" t="n"/>
      <c r="Q348" s="49" t="n"/>
      <c r="R348" s="56">
        <f>IF(Q348="","",IFERROR(VLOOKUP(Q348,Lookups!$A$2:$B$8,2,FALSE),""))</f>
        <v/>
      </c>
      <c r="S348" s="53">
        <f>IF(B348="","",B348&amp;"|"&amp;TEXT(C348,"00"))</f>
        <v/>
      </c>
      <c r="T348" s="53">
        <f>IF(B348="","",B348&amp;"|"&amp;TEXT(C348-1,"00"))</f>
        <v/>
      </c>
      <c r="U348" s="53">
        <f>IFERROR(INDEX($Q:$Q,MATCH(T348,$S:$S,0)),"")</f>
        <v/>
      </c>
      <c r="V348" s="56">
        <f>IFERROR(INDEX($R:$R,MATCH(T348,$S:$S,0)),"")</f>
        <v/>
      </c>
      <c r="W348" s="56">
        <f>IF(U348="","",IF(Q348&lt;&gt;U348,1,0))</f>
        <v/>
      </c>
      <c r="X348" s="56">
        <f>IF(V348="","",IF(R348&lt;V348,1,0))</f>
        <v/>
      </c>
      <c r="Y348" s="56">
        <f>IF(V348="","",IF(R348&gt;V348,1,0))</f>
        <v/>
      </c>
      <c r="Z348" s="56">
        <f>IF(Q348="Pass",1,0)</f>
        <v/>
      </c>
      <c r="AA348" s="50" t="n"/>
      <c r="AB348" s="50" t="n"/>
      <c r="AC348" s="49" t="n"/>
      <c r="AD348" s="50" t="n"/>
      <c r="AE348" s="49" t="n"/>
    </row>
    <row r="349" ht="15.75" customHeight="1" s="40">
      <c r="A349" s="48" t="n"/>
      <c r="B349" s="48" t="n"/>
      <c r="C349" s="47" t="n"/>
      <c r="D349" s="48" t="n"/>
      <c r="E349" s="48" t="n"/>
      <c r="F349" s="48" t="n"/>
      <c r="G349" s="47" t="n"/>
      <c r="H349" s="50" t="n"/>
      <c r="I349" s="50" t="n"/>
      <c r="J349" s="50" t="n"/>
      <c r="K349" s="50" t="n"/>
      <c r="L349" s="49" t="n"/>
      <c r="M349" s="49" t="n"/>
      <c r="N349" s="49" t="n"/>
      <c r="O349" s="49" t="n"/>
      <c r="P349" s="50" t="n"/>
      <c r="Q349" s="49" t="n"/>
      <c r="R349" s="56">
        <f>IF(Q349="","",IFERROR(VLOOKUP(Q349,Lookups!$A$2:$B$8,2,FALSE),""))</f>
        <v/>
      </c>
      <c r="S349" s="53">
        <f>IF(B349="","",B349&amp;"|"&amp;TEXT(C349,"00"))</f>
        <v/>
      </c>
      <c r="T349" s="53">
        <f>IF(B349="","",B349&amp;"|"&amp;TEXT(C349-1,"00"))</f>
        <v/>
      </c>
      <c r="U349" s="53">
        <f>IFERROR(INDEX($Q:$Q,MATCH(T349,$S:$S,0)),"")</f>
        <v/>
      </c>
      <c r="V349" s="56">
        <f>IFERROR(INDEX($R:$R,MATCH(T349,$S:$S,0)),"")</f>
        <v/>
      </c>
      <c r="W349" s="56">
        <f>IF(U349="","",IF(Q349&lt;&gt;U349,1,0))</f>
        <v/>
      </c>
      <c r="X349" s="56">
        <f>IF(V349="","",IF(R349&lt;V349,1,0))</f>
        <v/>
      </c>
      <c r="Y349" s="56">
        <f>IF(V349="","",IF(R349&gt;V349,1,0))</f>
        <v/>
      </c>
      <c r="Z349" s="56">
        <f>IF(Q349="Pass",1,0)</f>
        <v/>
      </c>
      <c r="AA349" s="50" t="n"/>
      <c r="AB349" s="50" t="n"/>
      <c r="AC349" s="49" t="n"/>
      <c r="AD349" s="50" t="n"/>
      <c r="AE349" s="49" t="n"/>
    </row>
    <row r="350" ht="15.75" customHeight="1" s="40">
      <c r="A350" s="48" t="n"/>
      <c r="B350" s="48" t="n"/>
      <c r="C350" s="47" t="n"/>
      <c r="D350" s="48" t="n"/>
      <c r="E350" s="48" t="n"/>
      <c r="F350" s="48" t="n"/>
      <c r="G350" s="47" t="n"/>
      <c r="H350" s="50" t="n"/>
      <c r="I350" s="50" t="n"/>
      <c r="J350" s="50" t="n"/>
      <c r="K350" s="50" t="n"/>
      <c r="L350" s="49" t="n"/>
      <c r="M350" s="49" t="n"/>
      <c r="N350" s="49" t="n"/>
      <c r="O350" s="49" t="n"/>
      <c r="P350" s="50" t="n"/>
      <c r="Q350" s="49" t="n"/>
      <c r="R350" s="56">
        <f>IF(Q350="","",IFERROR(VLOOKUP(Q350,Lookups!$A$2:$B$8,2,FALSE),""))</f>
        <v/>
      </c>
      <c r="S350" s="53">
        <f>IF(B350="","",B350&amp;"|"&amp;TEXT(C350,"00"))</f>
        <v/>
      </c>
      <c r="T350" s="53">
        <f>IF(B350="","",B350&amp;"|"&amp;TEXT(C350-1,"00"))</f>
        <v/>
      </c>
      <c r="U350" s="53">
        <f>IFERROR(INDEX($Q:$Q,MATCH(T350,$S:$S,0)),"")</f>
        <v/>
      </c>
      <c r="V350" s="56">
        <f>IFERROR(INDEX($R:$R,MATCH(T350,$S:$S,0)),"")</f>
        <v/>
      </c>
      <c r="W350" s="56">
        <f>IF(U350="","",IF(Q350&lt;&gt;U350,1,0))</f>
        <v/>
      </c>
      <c r="X350" s="56">
        <f>IF(V350="","",IF(R350&lt;V350,1,0))</f>
        <v/>
      </c>
      <c r="Y350" s="56">
        <f>IF(V350="","",IF(R350&gt;V350,1,0))</f>
        <v/>
      </c>
      <c r="Z350" s="56">
        <f>IF(Q350="Pass",1,0)</f>
        <v/>
      </c>
      <c r="AA350" s="50" t="n"/>
      <c r="AB350" s="50" t="n"/>
      <c r="AC350" s="49" t="n"/>
      <c r="AD350" s="50" t="n"/>
      <c r="AE350" s="49" t="n"/>
    </row>
    <row r="351" ht="15.75" customHeight="1" s="40">
      <c r="A351" s="48" t="n"/>
      <c r="B351" s="48" t="n"/>
      <c r="C351" s="47" t="n"/>
      <c r="D351" s="48" t="n"/>
      <c r="E351" s="48" t="n"/>
      <c r="F351" s="48" t="n"/>
      <c r="G351" s="47" t="n"/>
      <c r="H351" s="50" t="n"/>
      <c r="I351" s="50" t="n"/>
      <c r="J351" s="50" t="n"/>
      <c r="K351" s="50" t="n"/>
      <c r="L351" s="49" t="n"/>
      <c r="M351" s="49" t="n"/>
      <c r="N351" s="49" t="n"/>
      <c r="O351" s="49" t="n"/>
      <c r="P351" s="50" t="n"/>
      <c r="Q351" s="49" t="n"/>
      <c r="R351" s="56">
        <f>IF(Q351="","",IFERROR(VLOOKUP(Q351,Lookups!$A$2:$B$8,2,FALSE),""))</f>
        <v/>
      </c>
      <c r="S351" s="53">
        <f>IF(B351="","",B351&amp;"|"&amp;TEXT(C351,"00"))</f>
        <v/>
      </c>
      <c r="T351" s="53">
        <f>IF(B351="","",B351&amp;"|"&amp;TEXT(C351-1,"00"))</f>
        <v/>
      </c>
      <c r="U351" s="53">
        <f>IFERROR(INDEX($Q:$Q,MATCH(T351,$S:$S,0)),"")</f>
        <v/>
      </c>
      <c r="V351" s="56">
        <f>IFERROR(INDEX($R:$R,MATCH(T351,$S:$S,0)),"")</f>
        <v/>
      </c>
      <c r="W351" s="56">
        <f>IF(U351="","",IF(Q351&lt;&gt;U351,1,0))</f>
        <v/>
      </c>
      <c r="X351" s="56">
        <f>IF(V351="","",IF(R351&lt;V351,1,0))</f>
        <v/>
      </c>
      <c r="Y351" s="56">
        <f>IF(V351="","",IF(R351&gt;V351,1,0))</f>
        <v/>
      </c>
      <c r="Z351" s="56">
        <f>IF(Q351="Pass",1,0)</f>
        <v/>
      </c>
      <c r="AA351" s="50" t="n"/>
      <c r="AB351" s="50" t="n"/>
      <c r="AC351" s="49" t="n"/>
      <c r="AD351" s="50" t="n"/>
      <c r="AE351" s="49" t="n"/>
    </row>
    <row r="352" ht="15.75" customHeight="1" s="40">
      <c r="A352" s="48" t="n"/>
      <c r="B352" s="48" t="n"/>
      <c r="C352" s="47" t="n"/>
      <c r="D352" s="48" t="n"/>
      <c r="E352" s="48" t="n"/>
      <c r="F352" s="48" t="n"/>
      <c r="G352" s="47" t="n"/>
      <c r="H352" s="50" t="n"/>
      <c r="I352" s="50" t="n"/>
      <c r="J352" s="50" t="n"/>
      <c r="K352" s="50" t="n"/>
      <c r="L352" s="49" t="n"/>
      <c r="M352" s="49" t="n"/>
      <c r="N352" s="49" t="n"/>
      <c r="O352" s="49" t="n"/>
      <c r="P352" s="50" t="n"/>
      <c r="Q352" s="49" t="n"/>
      <c r="R352" s="56">
        <f>IF(Q352="","",IFERROR(VLOOKUP(Q352,Lookups!$A$2:$B$8,2,FALSE),""))</f>
        <v/>
      </c>
      <c r="S352" s="53">
        <f>IF(B352="","",B352&amp;"|"&amp;TEXT(C352,"00"))</f>
        <v/>
      </c>
      <c r="T352" s="53">
        <f>IF(B352="","",B352&amp;"|"&amp;TEXT(C352-1,"00"))</f>
        <v/>
      </c>
      <c r="U352" s="53">
        <f>IFERROR(INDEX($Q:$Q,MATCH(T352,$S:$S,0)),"")</f>
        <v/>
      </c>
      <c r="V352" s="56">
        <f>IFERROR(INDEX($R:$R,MATCH(T352,$S:$S,0)),"")</f>
        <v/>
      </c>
      <c r="W352" s="56">
        <f>IF(U352="","",IF(Q352&lt;&gt;U352,1,0))</f>
        <v/>
      </c>
      <c r="X352" s="56">
        <f>IF(V352="","",IF(R352&lt;V352,1,0))</f>
        <v/>
      </c>
      <c r="Y352" s="56">
        <f>IF(V352="","",IF(R352&gt;V352,1,0))</f>
        <v/>
      </c>
      <c r="Z352" s="56">
        <f>IF(Q352="Pass",1,0)</f>
        <v/>
      </c>
      <c r="AA352" s="50" t="n"/>
      <c r="AB352" s="50" t="n"/>
      <c r="AC352" s="49" t="n"/>
      <c r="AD352" s="50" t="n"/>
      <c r="AE352" s="49" t="n"/>
    </row>
    <row r="353" ht="15.75" customHeight="1" s="40">
      <c r="A353" s="48" t="n"/>
      <c r="B353" s="48" t="n"/>
      <c r="C353" s="47" t="n"/>
      <c r="D353" s="48" t="n"/>
      <c r="E353" s="48" t="n"/>
      <c r="F353" s="48" t="n"/>
      <c r="G353" s="47" t="n"/>
      <c r="H353" s="50" t="n"/>
      <c r="I353" s="50" t="n"/>
      <c r="J353" s="50" t="n"/>
      <c r="K353" s="50" t="n"/>
      <c r="L353" s="49" t="n"/>
      <c r="M353" s="49" t="n"/>
      <c r="N353" s="49" t="n"/>
      <c r="O353" s="49" t="n"/>
      <c r="P353" s="50" t="n"/>
      <c r="Q353" s="49" t="n"/>
      <c r="R353" s="56">
        <f>IF(Q353="","",IFERROR(VLOOKUP(Q353,Lookups!$A$2:$B$8,2,FALSE),""))</f>
        <v/>
      </c>
      <c r="S353" s="53">
        <f>IF(B353="","",B353&amp;"|"&amp;TEXT(C353,"00"))</f>
        <v/>
      </c>
      <c r="T353" s="53">
        <f>IF(B353="","",B353&amp;"|"&amp;TEXT(C353-1,"00"))</f>
        <v/>
      </c>
      <c r="U353" s="53">
        <f>IFERROR(INDEX($Q:$Q,MATCH(T353,$S:$S,0)),"")</f>
        <v/>
      </c>
      <c r="V353" s="56">
        <f>IFERROR(INDEX($R:$R,MATCH(T353,$S:$S,0)),"")</f>
        <v/>
      </c>
      <c r="W353" s="56">
        <f>IF(U353="","",IF(Q353&lt;&gt;U353,1,0))</f>
        <v/>
      </c>
      <c r="X353" s="56">
        <f>IF(V353="","",IF(R353&lt;V353,1,0))</f>
        <v/>
      </c>
      <c r="Y353" s="56">
        <f>IF(V353="","",IF(R353&gt;V353,1,0))</f>
        <v/>
      </c>
      <c r="Z353" s="56">
        <f>IF(Q353="Pass",1,0)</f>
        <v/>
      </c>
      <c r="AA353" s="50" t="n"/>
      <c r="AB353" s="50" t="n"/>
      <c r="AC353" s="49" t="n"/>
      <c r="AD353" s="50" t="n"/>
      <c r="AE353" s="49" t="n"/>
    </row>
    <row r="354" ht="15.75" customHeight="1" s="40">
      <c r="A354" s="48" t="n"/>
      <c r="B354" s="48" t="n"/>
      <c r="C354" s="47" t="n"/>
      <c r="D354" s="48" t="n"/>
      <c r="E354" s="48" t="n"/>
      <c r="F354" s="48" t="n"/>
      <c r="G354" s="47" t="n"/>
      <c r="H354" s="50" t="n"/>
      <c r="I354" s="50" t="n"/>
      <c r="J354" s="50" t="n"/>
      <c r="K354" s="50" t="n"/>
      <c r="L354" s="49" t="n"/>
      <c r="M354" s="49" t="n"/>
      <c r="N354" s="49" t="n"/>
      <c r="O354" s="49" t="n"/>
      <c r="P354" s="50" t="n"/>
      <c r="Q354" s="49" t="n"/>
      <c r="R354" s="56">
        <f>IF(Q354="","",IFERROR(VLOOKUP(Q354,Lookups!$A$2:$B$8,2,FALSE),""))</f>
        <v/>
      </c>
      <c r="S354" s="53">
        <f>IF(B354="","",B354&amp;"|"&amp;TEXT(C354,"00"))</f>
        <v/>
      </c>
      <c r="T354" s="53">
        <f>IF(B354="","",B354&amp;"|"&amp;TEXT(C354-1,"00"))</f>
        <v/>
      </c>
      <c r="U354" s="53">
        <f>IFERROR(INDEX($Q:$Q,MATCH(T354,$S:$S,0)),"")</f>
        <v/>
      </c>
      <c r="V354" s="56">
        <f>IFERROR(INDEX($R:$R,MATCH(T354,$S:$S,0)),"")</f>
        <v/>
      </c>
      <c r="W354" s="56">
        <f>IF(U354="","",IF(Q354&lt;&gt;U354,1,0))</f>
        <v/>
      </c>
      <c r="X354" s="56">
        <f>IF(V354="","",IF(R354&lt;V354,1,0))</f>
        <v/>
      </c>
      <c r="Y354" s="56">
        <f>IF(V354="","",IF(R354&gt;V354,1,0))</f>
        <v/>
      </c>
      <c r="Z354" s="56">
        <f>IF(Q354="Pass",1,0)</f>
        <v/>
      </c>
      <c r="AA354" s="50" t="n"/>
      <c r="AB354" s="50" t="n"/>
      <c r="AC354" s="49" t="n"/>
      <c r="AD354" s="50" t="n"/>
      <c r="AE354" s="49" t="n"/>
    </row>
    <row r="355" ht="15.75" customHeight="1" s="40">
      <c r="A355" s="48" t="n"/>
      <c r="B355" s="48" t="n"/>
      <c r="C355" s="47" t="n"/>
      <c r="D355" s="48" t="n"/>
      <c r="E355" s="48" t="n"/>
      <c r="F355" s="48" t="n"/>
      <c r="G355" s="47" t="n"/>
      <c r="H355" s="50" t="n"/>
      <c r="I355" s="50" t="n"/>
      <c r="J355" s="50" t="n"/>
      <c r="K355" s="50" t="n"/>
      <c r="L355" s="49" t="n"/>
      <c r="M355" s="49" t="n"/>
      <c r="N355" s="49" t="n"/>
      <c r="O355" s="49" t="n"/>
      <c r="P355" s="50" t="n"/>
      <c r="Q355" s="49" t="n"/>
      <c r="R355" s="56">
        <f>IF(Q355="","",IFERROR(VLOOKUP(Q355,Lookups!$A$2:$B$8,2,FALSE),""))</f>
        <v/>
      </c>
      <c r="S355" s="53">
        <f>IF(B355="","",B355&amp;"|"&amp;TEXT(C355,"00"))</f>
        <v/>
      </c>
      <c r="T355" s="53">
        <f>IF(B355="","",B355&amp;"|"&amp;TEXT(C355-1,"00"))</f>
        <v/>
      </c>
      <c r="U355" s="53">
        <f>IFERROR(INDEX($Q:$Q,MATCH(T355,$S:$S,0)),"")</f>
        <v/>
      </c>
      <c r="V355" s="56">
        <f>IFERROR(INDEX($R:$R,MATCH(T355,$S:$S,0)),"")</f>
        <v/>
      </c>
      <c r="W355" s="56">
        <f>IF(U355="","",IF(Q355&lt;&gt;U355,1,0))</f>
        <v/>
      </c>
      <c r="X355" s="56">
        <f>IF(V355="","",IF(R355&lt;V355,1,0))</f>
        <v/>
      </c>
      <c r="Y355" s="56">
        <f>IF(V355="","",IF(R355&gt;V355,1,0))</f>
        <v/>
      </c>
      <c r="Z355" s="56">
        <f>IF(Q355="Pass",1,0)</f>
        <v/>
      </c>
      <c r="AA355" s="50" t="n"/>
      <c r="AB355" s="50" t="n"/>
      <c r="AC355" s="49" t="n"/>
      <c r="AD355" s="50" t="n"/>
      <c r="AE355" s="49" t="n"/>
    </row>
    <row r="356" ht="15.75" customHeight="1" s="40">
      <c r="A356" s="48" t="n"/>
      <c r="B356" s="48" t="n"/>
      <c r="C356" s="47" t="n"/>
      <c r="D356" s="48" t="n"/>
      <c r="E356" s="48" t="n"/>
      <c r="F356" s="48" t="n"/>
      <c r="G356" s="47" t="n"/>
      <c r="H356" s="50" t="n"/>
      <c r="I356" s="50" t="n"/>
      <c r="J356" s="50" t="n"/>
      <c r="K356" s="50" t="n"/>
      <c r="L356" s="49" t="n"/>
      <c r="M356" s="49" t="n"/>
      <c r="N356" s="49" t="n"/>
      <c r="O356" s="49" t="n"/>
      <c r="P356" s="50" t="n"/>
      <c r="Q356" s="49" t="n"/>
      <c r="R356" s="56">
        <f>IF(Q356="","",IFERROR(VLOOKUP(Q356,Lookups!$A$2:$B$8,2,FALSE),""))</f>
        <v/>
      </c>
      <c r="S356" s="53">
        <f>IF(B356="","",B356&amp;"|"&amp;TEXT(C356,"00"))</f>
        <v/>
      </c>
      <c r="T356" s="53">
        <f>IF(B356="","",B356&amp;"|"&amp;TEXT(C356-1,"00"))</f>
        <v/>
      </c>
      <c r="U356" s="53">
        <f>IFERROR(INDEX($Q:$Q,MATCH(T356,$S:$S,0)),"")</f>
        <v/>
      </c>
      <c r="V356" s="56">
        <f>IFERROR(INDEX($R:$R,MATCH(T356,$S:$S,0)),"")</f>
        <v/>
      </c>
      <c r="W356" s="56">
        <f>IF(U356="","",IF(Q356&lt;&gt;U356,1,0))</f>
        <v/>
      </c>
      <c r="X356" s="56">
        <f>IF(V356="","",IF(R356&lt;V356,1,0))</f>
        <v/>
      </c>
      <c r="Y356" s="56">
        <f>IF(V356="","",IF(R356&gt;V356,1,0))</f>
        <v/>
      </c>
      <c r="Z356" s="56">
        <f>IF(Q356="Pass",1,0)</f>
        <v/>
      </c>
      <c r="AA356" s="50" t="n"/>
      <c r="AB356" s="50" t="n"/>
      <c r="AC356" s="49" t="n"/>
      <c r="AD356" s="50" t="n"/>
      <c r="AE356" s="49" t="n"/>
    </row>
    <row r="357" ht="15.75" customHeight="1" s="40">
      <c r="A357" s="48" t="n"/>
      <c r="B357" s="48" t="n"/>
      <c r="C357" s="47" t="n"/>
      <c r="D357" s="48" t="n"/>
      <c r="E357" s="48" t="n"/>
      <c r="F357" s="48" t="n"/>
      <c r="G357" s="47" t="n"/>
      <c r="H357" s="50" t="n"/>
      <c r="I357" s="50" t="n"/>
      <c r="J357" s="50" t="n"/>
      <c r="K357" s="50" t="n"/>
      <c r="L357" s="49" t="n"/>
      <c r="M357" s="49" t="n"/>
      <c r="N357" s="49" t="n"/>
      <c r="O357" s="49" t="n"/>
      <c r="P357" s="50" t="n"/>
      <c r="Q357" s="49" t="n"/>
      <c r="R357" s="56">
        <f>IF(Q357="","",IFERROR(VLOOKUP(Q357,Lookups!$A$2:$B$8,2,FALSE),""))</f>
        <v/>
      </c>
      <c r="S357" s="53">
        <f>IF(B357="","",B357&amp;"|"&amp;TEXT(C357,"00"))</f>
        <v/>
      </c>
      <c r="T357" s="53">
        <f>IF(B357="","",B357&amp;"|"&amp;TEXT(C357-1,"00"))</f>
        <v/>
      </c>
      <c r="U357" s="53">
        <f>IFERROR(INDEX($Q:$Q,MATCH(T357,$S:$S,0)),"")</f>
        <v/>
      </c>
      <c r="V357" s="56">
        <f>IFERROR(INDEX($R:$R,MATCH(T357,$S:$S,0)),"")</f>
        <v/>
      </c>
      <c r="W357" s="56">
        <f>IF(U357="","",IF(Q357&lt;&gt;U357,1,0))</f>
        <v/>
      </c>
      <c r="X357" s="56">
        <f>IF(V357="","",IF(R357&lt;V357,1,0))</f>
        <v/>
      </c>
      <c r="Y357" s="56">
        <f>IF(V357="","",IF(R357&gt;V357,1,0))</f>
        <v/>
      </c>
      <c r="Z357" s="56">
        <f>IF(Q357="Pass",1,0)</f>
        <v/>
      </c>
      <c r="AA357" s="50" t="n"/>
      <c r="AB357" s="50" t="n"/>
      <c r="AC357" s="49" t="n"/>
      <c r="AD357" s="50" t="n"/>
      <c r="AE357" s="49" t="n"/>
    </row>
    <row r="358" ht="15.75" customHeight="1" s="40">
      <c r="A358" s="48" t="n"/>
      <c r="B358" s="48" t="n"/>
      <c r="C358" s="47" t="n"/>
      <c r="D358" s="48" t="n"/>
      <c r="E358" s="48" t="n"/>
      <c r="F358" s="48" t="n"/>
      <c r="G358" s="47" t="n"/>
      <c r="H358" s="50" t="n"/>
      <c r="I358" s="50" t="n"/>
      <c r="J358" s="50" t="n"/>
      <c r="K358" s="50" t="n"/>
      <c r="L358" s="49" t="n"/>
      <c r="M358" s="49" t="n"/>
      <c r="N358" s="49" t="n"/>
      <c r="O358" s="49" t="n"/>
      <c r="P358" s="50" t="n"/>
      <c r="Q358" s="49" t="n"/>
      <c r="R358" s="56">
        <f>IF(Q358="","",IFERROR(VLOOKUP(Q358,Lookups!$A$2:$B$8,2,FALSE),""))</f>
        <v/>
      </c>
      <c r="S358" s="53">
        <f>IF(B358="","",B358&amp;"|"&amp;TEXT(C358,"00"))</f>
        <v/>
      </c>
      <c r="T358" s="53">
        <f>IF(B358="","",B358&amp;"|"&amp;TEXT(C358-1,"00"))</f>
        <v/>
      </c>
      <c r="U358" s="53">
        <f>IFERROR(INDEX($Q:$Q,MATCH(T358,$S:$S,0)),"")</f>
        <v/>
      </c>
      <c r="V358" s="56">
        <f>IFERROR(INDEX($R:$R,MATCH(T358,$S:$S,0)),"")</f>
        <v/>
      </c>
      <c r="W358" s="56">
        <f>IF(U358="","",IF(Q358&lt;&gt;U358,1,0))</f>
        <v/>
      </c>
      <c r="X358" s="56">
        <f>IF(V358="","",IF(R358&lt;V358,1,0))</f>
        <v/>
      </c>
      <c r="Y358" s="56">
        <f>IF(V358="","",IF(R358&gt;V358,1,0))</f>
        <v/>
      </c>
      <c r="Z358" s="56">
        <f>IF(Q358="Pass",1,0)</f>
        <v/>
      </c>
      <c r="AA358" s="50" t="n"/>
      <c r="AB358" s="50" t="n"/>
      <c r="AC358" s="49" t="n"/>
      <c r="AD358" s="50" t="n"/>
      <c r="AE358" s="49" t="n"/>
    </row>
    <row r="359" ht="15.75" customHeight="1" s="40">
      <c r="A359" s="48" t="n"/>
      <c r="B359" s="48" t="n"/>
      <c r="C359" s="47" t="n"/>
      <c r="D359" s="48" t="n"/>
      <c r="E359" s="48" t="n"/>
      <c r="F359" s="48" t="n"/>
      <c r="G359" s="47" t="n"/>
      <c r="H359" s="50" t="n"/>
      <c r="I359" s="50" t="n"/>
      <c r="J359" s="50" t="n"/>
      <c r="K359" s="50" t="n"/>
      <c r="L359" s="49" t="n"/>
      <c r="M359" s="49" t="n"/>
      <c r="N359" s="49" t="n"/>
      <c r="O359" s="49" t="n"/>
      <c r="P359" s="50" t="n"/>
      <c r="Q359" s="49" t="n"/>
      <c r="R359" s="56">
        <f>IF(Q359="","",IFERROR(VLOOKUP(Q359,Lookups!$A$2:$B$8,2,FALSE),""))</f>
        <v/>
      </c>
      <c r="S359" s="53">
        <f>IF(B359="","",B359&amp;"|"&amp;TEXT(C359,"00"))</f>
        <v/>
      </c>
      <c r="T359" s="53">
        <f>IF(B359="","",B359&amp;"|"&amp;TEXT(C359-1,"00"))</f>
        <v/>
      </c>
      <c r="U359" s="53">
        <f>IFERROR(INDEX($Q:$Q,MATCH(T359,$S:$S,0)),"")</f>
        <v/>
      </c>
      <c r="V359" s="56">
        <f>IFERROR(INDEX($R:$R,MATCH(T359,$S:$S,0)),"")</f>
        <v/>
      </c>
      <c r="W359" s="56">
        <f>IF(U359="","",IF(Q359&lt;&gt;U359,1,0))</f>
        <v/>
      </c>
      <c r="X359" s="56">
        <f>IF(V359="","",IF(R359&lt;V359,1,0))</f>
        <v/>
      </c>
      <c r="Y359" s="56">
        <f>IF(V359="","",IF(R359&gt;V359,1,0))</f>
        <v/>
      </c>
      <c r="Z359" s="56">
        <f>IF(Q359="Pass",1,0)</f>
        <v/>
      </c>
      <c r="AA359" s="50" t="n"/>
      <c r="AB359" s="50" t="n"/>
      <c r="AC359" s="49" t="n"/>
      <c r="AD359" s="50" t="n"/>
      <c r="AE359" s="49" t="n"/>
    </row>
    <row r="360" ht="15.75" customHeight="1" s="40">
      <c r="A360" s="48" t="n"/>
      <c r="B360" s="48" t="n"/>
      <c r="C360" s="47" t="n"/>
      <c r="D360" s="48" t="n"/>
      <c r="E360" s="48" t="n"/>
      <c r="F360" s="48" t="n"/>
      <c r="G360" s="47" t="n"/>
      <c r="H360" s="50" t="n"/>
      <c r="I360" s="50" t="n"/>
      <c r="J360" s="50" t="n"/>
      <c r="K360" s="50" t="n"/>
      <c r="L360" s="49" t="n"/>
      <c r="M360" s="49" t="n"/>
      <c r="N360" s="49" t="n"/>
      <c r="O360" s="49" t="n"/>
      <c r="P360" s="50" t="n"/>
      <c r="Q360" s="49" t="n"/>
      <c r="R360" s="56">
        <f>IF(Q360="","",IFERROR(VLOOKUP(Q360,Lookups!$A$2:$B$8,2,FALSE),""))</f>
        <v/>
      </c>
      <c r="S360" s="53">
        <f>IF(B360="","",B360&amp;"|"&amp;TEXT(C360,"00"))</f>
        <v/>
      </c>
      <c r="T360" s="53">
        <f>IF(B360="","",B360&amp;"|"&amp;TEXT(C360-1,"00"))</f>
        <v/>
      </c>
      <c r="U360" s="53">
        <f>IFERROR(INDEX($Q:$Q,MATCH(T360,$S:$S,0)),"")</f>
        <v/>
      </c>
      <c r="V360" s="56">
        <f>IFERROR(INDEX($R:$R,MATCH(T360,$S:$S,0)),"")</f>
        <v/>
      </c>
      <c r="W360" s="56">
        <f>IF(U360="","",IF(Q360&lt;&gt;U360,1,0))</f>
        <v/>
      </c>
      <c r="X360" s="56">
        <f>IF(V360="","",IF(R360&lt;V360,1,0))</f>
        <v/>
      </c>
      <c r="Y360" s="56">
        <f>IF(V360="","",IF(R360&gt;V360,1,0))</f>
        <v/>
      </c>
      <c r="Z360" s="56">
        <f>IF(Q360="Pass",1,0)</f>
        <v/>
      </c>
      <c r="AA360" s="50" t="n"/>
      <c r="AB360" s="50" t="n"/>
      <c r="AC360" s="49" t="n"/>
      <c r="AD360" s="50" t="n"/>
      <c r="AE360" s="49" t="n"/>
    </row>
    <row r="361" ht="15.75" customHeight="1" s="40">
      <c r="A361" s="48" t="n"/>
      <c r="B361" s="48" t="n"/>
      <c r="C361" s="47" t="n"/>
      <c r="D361" s="48" t="n"/>
      <c r="E361" s="48" t="n"/>
      <c r="F361" s="48" t="n"/>
      <c r="G361" s="47" t="n"/>
      <c r="H361" s="50" t="n"/>
      <c r="I361" s="50" t="n"/>
      <c r="J361" s="50" t="n"/>
      <c r="K361" s="50" t="n"/>
      <c r="L361" s="49" t="n"/>
      <c r="M361" s="49" t="n"/>
      <c r="N361" s="49" t="n"/>
      <c r="O361" s="49" t="n"/>
      <c r="P361" s="50" t="n"/>
      <c r="Q361" s="49" t="n"/>
      <c r="R361" s="56">
        <f>IF(Q361="","",IFERROR(VLOOKUP(Q361,Lookups!$A$2:$B$8,2,FALSE),""))</f>
        <v/>
      </c>
      <c r="S361" s="53">
        <f>IF(B361="","",B361&amp;"|"&amp;TEXT(C361,"00"))</f>
        <v/>
      </c>
      <c r="T361" s="53">
        <f>IF(B361="","",B361&amp;"|"&amp;TEXT(C361-1,"00"))</f>
        <v/>
      </c>
      <c r="U361" s="53">
        <f>IFERROR(INDEX($Q:$Q,MATCH(T361,$S:$S,0)),"")</f>
        <v/>
      </c>
      <c r="V361" s="56">
        <f>IFERROR(INDEX($R:$R,MATCH(T361,$S:$S,0)),"")</f>
        <v/>
      </c>
      <c r="W361" s="56">
        <f>IF(U361="","",IF(Q361&lt;&gt;U361,1,0))</f>
        <v/>
      </c>
      <c r="X361" s="56">
        <f>IF(V361="","",IF(R361&lt;V361,1,0))</f>
        <v/>
      </c>
      <c r="Y361" s="56">
        <f>IF(V361="","",IF(R361&gt;V361,1,0))</f>
        <v/>
      </c>
      <c r="Z361" s="56">
        <f>IF(Q361="Pass",1,0)</f>
        <v/>
      </c>
      <c r="AA361" s="50" t="n"/>
      <c r="AB361" s="50" t="n"/>
      <c r="AC361" s="49" t="n"/>
      <c r="AD361" s="50" t="n"/>
      <c r="AE361" s="49" t="n"/>
    </row>
    <row r="362" ht="15.75" customHeight="1" s="40">
      <c r="A362" s="48" t="n"/>
      <c r="B362" s="48" t="n"/>
      <c r="C362" s="47" t="n"/>
      <c r="D362" s="48" t="n"/>
      <c r="E362" s="48" t="n"/>
      <c r="F362" s="48" t="n"/>
      <c r="G362" s="47" t="n"/>
      <c r="H362" s="50" t="n"/>
      <c r="I362" s="50" t="n"/>
      <c r="J362" s="50" t="n"/>
      <c r="K362" s="50" t="n"/>
      <c r="L362" s="49" t="n"/>
      <c r="M362" s="49" t="n"/>
      <c r="N362" s="49" t="n"/>
      <c r="O362" s="49" t="n"/>
      <c r="P362" s="50" t="n"/>
      <c r="Q362" s="49" t="n"/>
      <c r="R362" s="56">
        <f>IF(Q362="","",IFERROR(VLOOKUP(Q362,Lookups!$A$2:$B$8,2,FALSE),""))</f>
        <v/>
      </c>
      <c r="S362" s="53">
        <f>IF(B362="","",B362&amp;"|"&amp;TEXT(C362,"00"))</f>
        <v/>
      </c>
      <c r="T362" s="53">
        <f>IF(B362="","",B362&amp;"|"&amp;TEXT(C362-1,"00"))</f>
        <v/>
      </c>
      <c r="U362" s="53">
        <f>IFERROR(INDEX($Q:$Q,MATCH(T362,$S:$S,0)),"")</f>
        <v/>
      </c>
      <c r="V362" s="56">
        <f>IFERROR(INDEX($R:$R,MATCH(T362,$S:$S,0)),"")</f>
        <v/>
      </c>
      <c r="W362" s="56">
        <f>IF(U362="","",IF(Q362&lt;&gt;U362,1,0))</f>
        <v/>
      </c>
      <c r="X362" s="56">
        <f>IF(V362="","",IF(R362&lt;V362,1,0))</f>
        <v/>
      </c>
      <c r="Y362" s="56">
        <f>IF(V362="","",IF(R362&gt;V362,1,0))</f>
        <v/>
      </c>
      <c r="Z362" s="56">
        <f>IF(Q362="Pass",1,0)</f>
        <v/>
      </c>
      <c r="AA362" s="50" t="n"/>
      <c r="AB362" s="50" t="n"/>
      <c r="AC362" s="49" t="n"/>
      <c r="AD362" s="50" t="n"/>
      <c r="AE362" s="49" t="n"/>
    </row>
    <row r="363" ht="15.75" customHeight="1" s="40">
      <c r="A363" s="48" t="n"/>
      <c r="B363" s="48" t="n"/>
      <c r="C363" s="47" t="n"/>
      <c r="D363" s="48" t="n"/>
      <c r="E363" s="48" t="n"/>
      <c r="F363" s="48" t="n"/>
      <c r="G363" s="47" t="n"/>
      <c r="H363" s="50" t="n"/>
      <c r="I363" s="50" t="n"/>
      <c r="J363" s="50" t="n"/>
      <c r="K363" s="50" t="n"/>
      <c r="L363" s="49" t="n"/>
      <c r="M363" s="49" t="n"/>
      <c r="N363" s="49" t="n"/>
      <c r="O363" s="49" t="n"/>
      <c r="P363" s="50" t="n"/>
      <c r="Q363" s="49" t="n"/>
      <c r="R363" s="56">
        <f>IF(Q363="","",IFERROR(VLOOKUP(Q363,Lookups!$A$2:$B$8,2,FALSE),""))</f>
        <v/>
      </c>
      <c r="S363" s="53">
        <f>IF(B363="","",B363&amp;"|"&amp;TEXT(C363,"00"))</f>
        <v/>
      </c>
      <c r="T363" s="53">
        <f>IF(B363="","",B363&amp;"|"&amp;TEXT(C363-1,"00"))</f>
        <v/>
      </c>
      <c r="U363" s="53">
        <f>IFERROR(INDEX($Q:$Q,MATCH(T363,$S:$S,0)),"")</f>
        <v/>
      </c>
      <c r="V363" s="56">
        <f>IFERROR(INDEX($R:$R,MATCH(T363,$S:$S,0)),"")</f>
        <v/>
      </c>
      <c r="W363" s="56">
        <f>IF(U363="","",IF(Q363&lt;&gt;U363,1,0))</f>
        <v/>
      </c>
      <c r="X363" s="56">
        <f>IF(V363="","",IF(R363&lt;V363,1,0))</f>
        <v/>
      </c>
      <c r="Y363" s="56">
        <f>IF(V363="","",IF(R363&gt;V363,1,0))</f>
        <v/>
      </c>
      <c r="Z363" s="56">
        <f>IF(Q363="Pass",1,0)</f>
        <v/>
      </c>
      <c r="AA363" s="50" t="n"/>
      <c r="AB363" s="50" t="n"/>
      <c r="AC363" s="49" t="n"/>
      <c r="AD363" s="50" t="n"/>
      <c r="AE363" s="49" t="n"/>
    </row>
    <row r="364" ht="15.75" customHeight="1" s="40">
      <c r="A364" s="48" t="n"/>
      <c r="B364" s="48" t="n"/>
      <c r="C364" s="47" t="n"/>
      <c r="D364" s="48" t="n"/>
      <c r="E364" s="48" t="n"/>
      <c r="F364" s="48" t="n"/>
      <c r="G364" s="47" t="n"/>
      <c r="H364" s="50" t="n"/>
      <c r="I364" s="50" t="n"/>
      <c r="J364" s="50" t="n"/>
      <c r="K364" s="50" t="n"/>
      <c r="L364" s="49" t="n"/>
      <c r="M364" s="49" t="n"/>
      <c r="N364" s="49" t="n"/>
      <c r="O364" s="49" t="n"/>
      <c r="P364" s="50" t="n"/>
      <c r="Q364" s="49" t="n"/>
      <c r="R364" s="56">
        <f>IF(Q364="","",IFERROR(VLOOKUP(Q364,Lookups!$A$2:$B$8,2,FALSE),""))</f>
        <v/>
      </c>
      <c r="S364" s="53">
        <f>IF(B364="","",B364&amp;"|"&amp;TEXT(C364,"00"))</f>
        <v/>
      </c>
      <c r="T364" s="53">
        <f>IF(B364="","",B364&amp;"|"&amp;TEXT(C364-1,"00"))</f>
        <v/>
      </c>
      <c r="U364" s="53">
        <f>IFERROR(INDEX($Q:$Q,MATCH(T364,$S:$S,0)),"")</f>
        <v/>
      </c>
      <c r="V364" s="56">
        <f>IFERROR(INDEX($R:$R,MATCH(T364,$S:$S,0)),"")</f>
        <v/>
      </c>
      <c r="W364" s="56">
        <f>IF(U364="","",IF(Q364&lt;&gt;U364,1,0))</f>
        <v/>
      </c>
      <c r="X364" s="56">
        <f>IF(V364="","",IF(R364&lt;V364,1,0))</f>
        <v/>
      </c>
      <c r="Y364" s="56">
        <f>IF(V364="","",IF(R364&gt;V364,1,0))</f>
        <v/>
      </c>
      <c r="Z364" s="56">
        <f>IF(Q364="Pass",1,0)</f>
        <v/>
      </c>
      <c r="AA364" s="50" t="n"/>
      <c r="AB364" s="50" t="n"/>
      <c r="AC364" s="49" t="n"/>
      <c r="AD364" s="50" t="n"/>
      <c r="AE364" s="49" t="n"/>
    </row>
    <row r="365" ht="15.75" customHeight="1" s="40">
      <c r="A365" s="48" t="n"/>
      <c r="B365" s="48" t="n"/>
      <c r="C365" s="47" t="n"/>
      <c r="D365" s="48" t="n"/>
      <c r="E365" s="48" t="n"/>
      <c r="F365" s="48" t="n"/>
      <c r="G365" s="47" t="n"/>
      <c r="H365" s="50" t="n"/>
      <c r="I365" s="50" t="n"/>
      <c r="J365" s="50" t="n"/>
      <c r="K365" s="50" t="n"/>
      <c r="L365" s="49" t="n"/>
      <c r="M365" s="49" t="n"/>
      <c r="N365" s="49" t="n"/>
      <c r="O365" s="49" t="n"/>
      <c r="P365" s="50" t="n"/>
      <c r="Q365" s="49" t="n"/>
      <c r="R365" s="56">
        <f>IF(Q365="","",IFERROR(VLOOKUP(Q365,Lookups!$A$2:$B$8,2,FALSE),""))</f>
        <v/>
      </c>
      <c r="S365" s="53">
        <f>IF(B365="","",B365&amp;"|"&amp;TEXT(C365,"00"))</f>
        <v/>
      </c>
      <c r="T365" s="53">
        <f>IF(B365="","",B365&amp;"|"&amp;TEXT(C365-1,"00"))</f>
        <v/>
      </c>
      <c r="U365" s="53">
        <f>IFERROR(INDEX($Q:$Q,MATCH(T365,$S:$S,0)),"")</f>
        <v/>
      </c>
      <c r="V365" s="56">
        <f>IFERROR(INDEX($R:$R,MATCH(T365,$S:$S,0)),"")</f>
        <v/>
      </c>
      <c r="W365" s="56">
        <f>IF(U365="","",IF(Q365&lt;&gt;U365,1,0))</f>
        <v/>
      </c>
      <c r="X365" s="56">
        <f>IF(V365="","",IF(R365&lt;V365,1,0))</f>
        <v/>
      </c>
      <c r="Y365" s="56">
        <f>IF(V365="","",IF(R365&gt;V365,1,0))</f>
        <v/>
      </c>
      <c r="Z365" s="56">
        <f>IF(Q365="Pass",1,0)</f>
        <v/>
      </c>
      <c r="AA365" s="50" t="n"/>
      <c r="AB365" s="50" t="n"/>
      <c r="AC365" s="49" t="n"/>
      <c r="AD365" s="50" t="n"/>
      <c r="AE365" s="49" t="n"/>
    </row>
    <row r="366" ht="15.75" customHeight="1" s="40">
      <c r="A366" s="48" t="n"/>
      <c r="B366" s="48" t="n"/>
      <c r="C366" s="47" t="n"/>
      <c r="D366" s="48" t="n"/>
      <c r="E366" s="48" t="n"/>
      <c r="F366" s="48" t="n"/>
      <c r="G366" s="47" t="n"/>
      <c r="H366" s="50" t="n"/>
      <c r="I366" s="50" t="n"/>
      <c r="J366" s="50" t="n"/>
      <c r="K366" s="50" t="n"/>
      <c r="L366" s="49" t="n"/>
      <c r="M366" s="49" t="n"/>
      <c r="N366" s="49" t="n"/>
      <c r="O366" s="49" t="n"/>
      <c r="P366" s="50" t="n"/>
      <c r="Q366" s="49" t="n"/>
      <c r="R366" s="56">
        <f>IF(Q366="","",IFERROR(VLOOKUP(Q366,Lookups!$A$2:$B$8,2,FALSE),""))</f>
        <v/>
      </c>
      <c r="S366" s="53">
        <f>IF(B366="","",B366&amp;"|"&amp;TEXT(C366,"00"))</f>
        <v/>
      </c>
      <c r="T366" s="53">
        <f>IF(B366="","",B366&amp;"|"&amp;TEXT(C366-1,"00"))</f>
        <v/>
      </c>
      <c r="U366" s="53">
        <f>IFERROR(INDEX($Q:$Q,MATCH(T366,$S:$S,0)),"")</f>
        <v/>
      </c>
      <c r="V366" s="56">
        <f>IFERROR(INDEX($R:$R,MATCH(T366,$S:$S,0)),"")</f>
        <v/>
      </c>
      <c r="W366" s="56">
        <f>IF(U366="","",IF(Q366&lt;&gt;U366,1,0))</f>
        <v/>
      </c>
      <c r="X366" s="56">
        <f>IF(V366="","",IF(R366&lt;V366,1,0))</f>
        <v/>
      </c>
      <c r="Y366" s="56">
        <f>IF(V366="","",IF(R366&gt;V366,1,0))</f>
        <v/>
      </c>
      <c r="Z366" s="56">
        <f>IF(Q366="Pass",1,0)</f>
        <v/>
      </c>
      <c r="AA366" s="50" t="n"/>
      <c r="AB366" s="50" t="n"/>
      <c r="AC366" s="49" t="n"/>
      <c r="AD366" s="50" t="n"/>
      <c r="AE366" s="49" t="n"/>
    </row>
    <row r="367" ht="15.75" customHeight="1" s="40">
      <c r="A367" s="48" t="n"/>
      <c r="B367" s="48" t="n"/>
      <c r="C367" s="47" t="n"/>
      <c r="D367" s="48" t="n"/>
      <c r="E367" s="48" t="n"/>
      <c r="F367" s="48" t="n"/>
      <c r="G367" s="47" t="n"/>
      <c r="H367" s="50" t="n"/>
      <c r="I367" s="50" t="n"/>
      <c r="J367" s="50" t="n"/>
      <c r="K367" s="50" t="n"/>
      <c r="L367" s="49" t="n"/>
      <c r="M367" s="49" t="n"/>
      <c r="N367" s="49" t="n"/>
      <c r="O367" s="49" t="n"/>
      <c r="P367" s="50" t="n"/>
      <c r="Q367" s="49" t="n"/>
      <c r="R367" s="56">
        <f>IF(Q367="","",IFERROR(VLOOKUP(Q367,Lookups!$A$2:$B$8,2,FALSE),""))</f>
        <v/>
      </c>
      <c r="S367" s="53">
        <f>IF(B367="","",B367&amp;"|"&amp;TEXT(C367,"00"))</f>
        <v/>
      </c>
      <c r="T367" s="53">
        <f>IF(B367="","",B367&amp;"|"&amp;TEXT(C367-1,"00"))</f>
        <v/>
      </c>
      <c r="U367" s="53">
        <f>IFERROR(INDEX($Q:$Q,MATCH(T367,$S:$S,0)),"")</f>
        <v/>
      </c>
      <c r="V367" s="56">
        <f>IFERROR(INDEX($R:$R,MATCH(T367,$S:$S,0)),"")</f>
        <v/>
      </c>
      <c r="W367" s="56">
        <f>IF(U367="","",IF(Q367&lt;&gt;U367,1,0))</f>
        <v/>
      </c>
      <c r="X367" s="56">
        <f>IF(V367="","",IF(R367&lt;V367,1,0))</f>
        <v/>
      </c>
      <c r="Y367" s="56">
        <f>IF(V367="","",IF(R367&gt;V367,1,0))</f>
        <v/>
      </c>
      <c r="Z367" s="56">
        <f>IF(Q367="Pass",1,0)</f>
        <v/>
      </c>
      <c r="AA367" s="50" t="n"/>
      <c r="AB367" s="50" t="n"/>
      <c r="AC367" s="49" t="n"/>
      <c r="AD367" s="50" t="n"/>
      <c r="AE367" s="49" t="n"/>
    </row>
    <row r="368" ht="15.75" customHeight="1" s="40">
      <c r="A368" s="48" t="n"/>
      <c r="B368" s="48" t="n"/>
      <c r="C368" s="47" t="n"/>
      <c r="D368" s="48" t="n"/>
      <c r="E368" s="48" t="n"/>
      <c r="F368" s="48" t="n"/>
      <c r="G368" s="47" t="n"/>
      <c r="H368" s="50" t="n"/>
      <c r="I368" s="50" t="n"/>
      <c r="J368" s="50" t="n"/>
      <c r="K368" s="50" t="n"/>
      <c r="L368" s="49" t="n"/>
      <c r="M368" s="49" t="n"/>
      <c r="N368" s="49" t="n"/>
      <c r="O368" s="49" t="n"/>
      <c r="P368" s="50" t="n"/>
      <c r="Q368" s="49" t="n"/>
      <c r="R368" s="56">
        <f>IF(Q368="","",IFERROR(VLOOKUP(Q368,Lookups!$A$2:$B$8,2,FALSE),""))</f>
        <v/>
      </c>
      <c r="S368" s="53">
        <f>IF(B368="","",B368&amp;"|"&amp;TEXT(C368,"00"))</f>
        <v/>
      </c>
      <c r="T368" s="53">
        <f>IF(B368="","",B368&amp;"|"&amp;TEXT(C368-1,"00"))</f>
        <v/>
      </c>
      <c r="U368" s="53">
        <f>IFERROR(INDEX($Q:$Q,MATCH(T368,$S:$S,0)),"")</f>
        <v/>
      </c>
      <c r="V368" s="56">
        <f>IFERROR(INDEX($R:$R,MATCH(T368,$S:$S,0)),"")</f>
        <v/>
      </c>
      <c r="W368" s="56">
        <f>IF(U368="","",IF(Q368&lt;&gt;U368,1,0))</f>
        <v/>
      </c>
      <c r="X368" s="56">
        <f>IF(V368="","",IF(R368&lt;V368,1,0))</f>
        <v/>
      </c>
      <c r="Y368" s="56">
        <f>IF(V368="","",IF(R368&gt;V368,1,0))</f>
        <v/>
      </c>
      <c r="Z368" s="56">
        <f>IF(Q368="Pass",1,0)</f>
        <v/>
      </c>
      <c r="AA368" s="50" t="n"/>
      <c r="AB368" s="50" t="n"/>
      <c r="AC368" s="49" t="n"/>
      <c r="AD368" s="50" t="n"/>
      <c r="AE368" s="49" t="n"/>
    </row>
    <row r="369" ht="15.75" customHeight="1" s="40">
      <c r="A369" s="48" t="n"/>
      <c r="B369" s="48" t="n"/>
      <c r="C369" s="47" t="n"/>
      <c r="D369" s="48" t="n"/>
      <c r="E369" s="48" t="n"/>
      <c r="F369" s="48" t="n"/>
      <c r="G369" s="47" t="n"/>
      <c r="H369" s="50" t="n"/>
      <c r="I369" s="50" t="n"/>
      <c r="J369" s="50" t="n"/>
      <c r="K369" s="50" t="n"/>
      <c r="L369" s="49" t="n"/>
      <c r="M369" s="49" t="n"/>
      <c r="N369" s="49" t="n"/>
      <c r="O369" s="49" t="n"/>
      <c r="P369" s="50" t="n"/>
      <c r="Q369" s="49" t="n"/>
      <c r="R369" s="56">
        <f>IF(Q369="","",IFERROR(VLOOKUP(Q369,Lookups!$A$2:$B$8,2,FALSE),""))</f>
        <v/>
      </c>
      <c r="S369" s="53">
        <f>IF(B369="","",B369&amp;"|"&amp;TEXT(C369,"00"))</f>
        <v/>
      </c>
      <c r="T369" s="53">
        <f>IF(B369="","",B369&amp;"|"&amp;TEXT(C369-1,"00"))</f>
        <v/>
      </c>
      <c r="U369" s="53">
        <f>IFERROR(INDEX($Q:$Q,MATCH(T369,$S:$S,0)),"")</f>
        <v/>
      </c>
      <c r="V369" s="56">
        <f>IFERROR(INDEX($R:$R,MATCH(T369,$S:$S,0)),"")</f>
        <v/>
      </c>
      <c r="W369" s="56">
        <f>IF(U369="","",IF(Q369&lt;&gt;U369,1,0))</f>
        <v/>
      </c>
      <c r="X369" s="56">
        <f>IF(V369="","",IF(R369&lt;V369,1,0))</f>
        <v/>
      </c>
      <c r="Y369" s="56">
        <f>IF(V369="","",IF(R369&gt;V369,1,0))</f>
        <v/>
      </c>
      <c r="Z369" s="56">
        <f>IF(Q369="Pass",1,0)</f>
        <v/>
      </c>
      <c r="AA369" s="50" t="n"/>
      <c r="AB369" s="50" t="n"/>
      <c r="AC369" s="49" t="n"/>
      <c r="AD369" s="50" t="n"/>
      <c r="AE369" s="49" t="n"/>
    </row>
    <row r="370" ht="15.75" customHeight="1" s="40">
      <c r="A370" s="48" t="n"/>
      <c r="B370" s="48" t="n"/>
      <c r="C370" s="47" t="n"/>
      <c r="D370" s="48" t="n"/>
      <c r="E370" s="48" t="n"/>
      <c r="F370" s="48" t="n"/>
      <c r="G370" s="47" t="n"/>
      <c r="H370" s="50" t="n"/>
      <c r="I370" s="50" t="n"/>
      <c r="J370" s="50" t="n"/>
      <c r="K370" s="50" t="n"/>
      <c r="L370" s="49" t="n"/>
      <c r="M370" s="49" t="n"/>
      <c r="N370" s="49" t="n"/>
      <c r="O370" s="49" t="n"/>
      <c r="P370" s="50" t="n"/>
      <c r="Q370" s="49" t="n"/>
      <c r="R370" s="56">
        <f>IF(Q370="","",IFERROR(VLOOKUP(Q370,Lookups!$A$2:$B$8,2,FALSE),""))</f>
        <v/>
      </c>
      <c r="S370" s="53">
        <f>IF(B370="","",B370&amp;"|"&amp;TEXT(C370,"00"))</f>
        <v/>
      </c>
      <c r="T370" s="53">
        <f>IF(B370="","",B370&amp;"|"&amp;TEXT(C370-1,"00"))</f>
        <v/>
      </c>
      <c r="U370" s="53">
        <f>IFERROR(INDEX($Q:$Q,MATCH(T370,$S:$S,0)),"")</f>
        <v/>
      </c>
      <c r="V370" s="56">
        <f>IFERROR(INDEX($R:$R,MATCH(T370,$S:$S,0)),"")</f>
        <v/>
      </c>
      <c r="W370" s="56">
        <f>IF(U370="","",IF(Q370&lt;&gt;U370,1,0))</f>
        <v/>
      </c>
      <c r="X370" s="56">
        <f>IF(V370="","",IF(R370&lt;V370,1,0))</f>
        <v/>
      </c>
      <c r="Y370" s="56">
        <f>IF(V370="","",IF(R370&gt;V370,1,0))</f>
        <v/>
      </c>
      <c r="Z370" s="56">
        <f>IF(Q370="Pass",1,0)</f>
        <v/>
      </c>
      <c r="AA370" s="50" t="n"/>
      <c r="AB370" s="50" t="n"/>
      <c r="AC370" s="49" t="n"/>
      <c r="AD370" s="50" t="n"/>
      <c r="AE370" s="49" t="n"/>
    </row>
    <row r="371" ht="15.75" customHeight="1" s="40">
      <c r="A371" s="48" t="n"/>
      <c r="B371" s="48" t="n"/>
      <c r="C371" s="47" t="n"/>
      <c r="D371" s="48" t="n"/>
      <c r="E371" s="48" t="n"/>
      <c r="F371" s="48" t="n"/>
      <c r="G371" s="47" t="n"/>
      <c r="H371" s="50" t="n"/>
      <c r="I371" s="50" t="n"/>
      <c r="J371" s="50" t="n"/>
      <c r="K371" s="50" t="n"/>
      <c r="L371" s="49" t="n"/>
      <c r="M371" s="49" t="n"/>
      <c r="N371" s="49" t="n"/>
      <c r="O371" s="49" t="n"/>
      <c r="P371" s="50" t="n"/>
      <c r="Q371" s="49" t="n"/>
      <c r="R371" s="56">
        <f>IF(Q371="","",IFERROR(VLOOKUP(Q371,Lookups!$A$2:$B$8,2,FALSE),""))</f>
        <v/>
      </c>
      <c r="S371" s="53">
        <f>IF(B371="","",B371&amp;"|"&amp;TEXT(C371,"00"))</f>
        <v/>
      </c>
      <c r="T371" s="53">
        <f>IF(B371="","",B371&amp;"|"&amp;TEXT(C371-1,"00"))</f>
        <v/>
      </c>
      <c r="U371" s="53">
        <f>IFERROR(INDEX($Q:$Q,MATCH(T371,$S:$S,0)),"")</f>
        <v/>
      </c>
      <c r="V371" s="56">
        <f>IFERROR(INDEX($R:$R,MATCH(T371,$S:$S,0)),"")</f>
        <v/>
      </c>
      <c r="W371" s="56">
        <f>IF(U371="","",IF(Q371&lt;&gt;U371,1,0))</f>
        <v/>
      </c>
      <c r="X371" s="56">
        <f>IF(V371="","",IF(R371&lt;V371,1,0))</f>
        <v/>
      </c>
      <c r="Y371" s="56">
        <f>IF(V371="","",IF(R371&gt;V371,1,0))</f>
        <v/>
      </c>
      <c r="Z371" s="56">
        <f>IF(Q371="Pass",1,0)</f>
        <v/>
      </c>
      <c r="AA371" s="50" t="n"/>
      <c r="AB371" s="50" t="n"/>
      <c r="AC371" s="49" t="n"/>
      <c r="AD371" s="50" t="n"/>
      <c r="AE371" s="49" t="n"/>
    </row>
    <row r="372" ht="15.75" customHeight="1" s="40">
      <c r="A372" s="48" t="n"/>
      <c r="B372" s="48" t="n"/>
      <c r="C372" s="47" t="n"/>
      <c r="D372" s="48" t="n"/>
      <c r="E372" s="48" t="n"/>
      <c r="F372" s="48" t="n"/>
      <c r="G372" s="47" t="n"/>
      <c r="H372" s="50" t="n"/>
      <c r="I372" s="50" t="n"/>
      <c r="J372" s="50" t="n"/>
      <c r="K372" s="50" t="n"/>
      <c r="L372" s="49" t="n"/>
      <c r="M372" s="49" t="n"/>
      <c r="N372" s="49" t="n"/>
      <c r="O372" s="49" t="n"/>
      <c r="P372" s="50" t="n"/>
      <c r="Q372" s="49" t="n"/>
      <c r="R372" s="56">
        <f>IF(Q372="","",IFERROR(VLOOKUP(Q372,Lookups!$A$2:$B$8,2,FALSE),""))</f>
        <v/>
      </c>
      <c r="S372" s="53">
        <f>IF(B372="","",B372&amp;"|"&amp;TEXT(C372,"00"))</f>
        <v/>
      </c>
      <c r="T372" s="53">
        <f>IF(B372="","",B372&amp;"|"&amp;TEXT(C372-1,"00"))</f>
        <v/>
      </c>
      <c r="U372" s="53">
        <f>IFERROR(INDEX($Q:$Q,MATCH(T372,$S:$S,0)),"")</f>
        <v/>
      </c>
      <c r="V372" s="56">
        <f>IFERROR(INDEX($R:$R,MATCH(T372,$S:$S,0)),"")</f>
        <v/>
      </c>
      <c r="W372" s="56">
        <f>IF(U372="","",IF(Q372&lt;&gt;U372,1,0))</f>
        <v/>
      </c>
      <c r="X372" s="56">
        <f>IF(V372="","",IF(R372&lt;V372,1,0))</f>
        <v/>
      </c>
      <c r="Y372" s="56">
        <f>IF(V372="","",IF(R372&gt;V372,1,0))</f>
        <v/>
      </c>
      <c r="Z372" s="56">
        <f>IF(Q372="Pass",1,0)</f>
        <v/>
      </c>
      <c r="AA372" s="50" t="n"/>
      <c r="AB372" s="50" t="n"/>
      <c r="AC372" s="49" t="n"/>
      <c r="AD372" s="50" t="n"/>
      <c r="AE372" s="49" t="n"/>
    </row>
    <row r="373" ht="15.75" customHeight="1" s="40">
      <c r="A373" s="48" t="n"/>
      <c r="B373" s="48" t="n"/>
      <c r="C373" s="47" t="n"/>
      <c r="D373" s="48" t="n"/>
      <c r="E373" s="48" t="n"/>
      <c r="F373" s="48" t="n"/>
      <c r="G373" s="47" t="n"/>
      <c r="H373" s="50" t="n"/>
      <c r="I373" s="50" t="n"/>
      <c r="J373" s="50" t="n"/>
      <c r="K373" s="50" t="n"/>
      <c r="L373" s="49" t="n"/>
      <c r="M373" s="49" t="n"/>
      <c r="N373" s="49" t="n"/>
      <c r="O373" s="49" t="n"/>
      <c r="P373" s="50" t="n"/>
      <c r="Q373" s="49" t="n"/>
      <c r="R373" s="56">
        <f>IF(Q373="","",IFERROR(VLOOKUP(Q373,Lookups!$A$2:$B$8,2,FALSE),""))</f>
        <v/>
      </c>
      <c r="S373" s="53">
        <f>IF(B373="","",B373&amp;"|"&amp;TEXT(C373,"00"))</f>
        <v/>
      </c>
      <c r="T373" s="53">
        <f>IF(B373="","",B373&amp;"|"&amp;TEXT(C373-1,"00"))</f>
        <v/>
      </c>
      <c r="U373" s="53">
        <f>IFERROR(INDEX($Q:$Q,MATCH(T373,$S:$S,0)),"")</f>
        <v/>
      </c>
      <c r="V373" s="56">
        <f>IFERROR(INDEX($R:$R,MATCH(T373,$S:$S,0)),"")</f>
        <v/>
      </c>
      <c r="W373" s="56">
        <f>IF(U373="","",IF(Q373&lt;&gt;U373,1,0))</f>
        <v/>
      </c>
      <c r="X373" s="56">
        <f>IF(V373="","",IF(R373&lt;V373,1,0))</f>
        <v/>
      </c>
      <c r="Y373" s="56">
        <f>IF(V373="","",IF(R373&gt;V373,1,0))</f>
        <v/>
      </c>
      <c r="Z373" s="56">
        <f>IF(Q373="Pass",1,0)</f>
        <v/>
      </c>
      <c r="AA373" s="50" t="n"/>
      <c r="AB373" s="50" t="n"/>
      <c r="AC373" s="49" t="n"/>
      <c r="AD373" s="50" t="n"/>
      <c r="AE373" s="49" t="n"/>
    </row>
    <row r="374" ht="15.75" customHeight="1" s="40">
      <c r="A374" s="48" t="n"/>
      <c r="B374" s="48" t="n"/>
      <c r="C374" s="47" t="n"/>
      <c r="D374" s="48" t="n"/>
      <c r="E374" s="48" t="n"/>
      <c r="F374" s="48" t="n"/>
      <c r="G374" s="47" t="n"/>
      <c r="H374" s="50" t="n"/>
      <c r="I374" s="50" t="n"/>
      <c r="J374" s="50" t="n"/>
      <c r="K374" s="50" t="n"/>
      <c r="L374" s="49" t="n"/>
      <c r="M374" s="49" t="n"/>
      <c r="N374" s="49" t="n"/>
      <c r="O374" s="49" t="n"/>
      <c r="P374" s="50" t="n"/>
      <c r="Q374" s="49" t="n"/>
      <c r="R374" s="56">
        <f>IF(Q374="","",IFERROR(VLOOKUP(Q374,Lookups!$A$2:$B$8,2,FALSE),""))</f>
        <v/>
      </c>
      <c r="S374" s="53">
        <f>IF(B374="","",B374&amp;"|"&amp;TEXT(C374,"00"))</f>
        <v/>
      </c>
      <c r="T374" s="53">
        <f>IF(B374="","",B374&amp;"|"&amp;TEXT(C374-1,"00"))</f>
        <v/>
      </c>
      <c r="U374" s="53">
        <f>IFERROR(INDEX($Q:$Q,MATCH(T374,$S:$S,0)),"")</f>
        <v/>
      </c>
      <c r="V374" s="56">
        <f>IFERROR(INDEX($R:$R,MATCH(T374,$S:$S,0)),"")</f>
        <v/>
      </c>
      <c r="W374" s="56">
        <f>IF(U374="","",IF(Q374&lt;&gt;U374,1,0))</f>
        <v/>
      </c>
      <c r="X374" s="56">
        <f>IF(V374="","",IF(R374&lt;V374,1,0))</f>
        <v/>
      </c>
      <c r="Y374" s="56">
        <f>IF(V374="","",IF(R374&gt;V374,1,0))</f>
        <v/>
      </c>
      <c r="Z374" s="56">
        <f>IF(Q374="Pass",1,0)</f>
        <v/>
      </c>
      <c r="AA374" s="50" t="n"/>
      <c r="AB374" s="50" t="n"/>
      <c r="AC374" s="49" t="n"/>
      <c r="AD374" s="50" t="n"/>
      <c r="AE374" s="49" t="n"/>
    </row>
    <row r="375" ht="15.75" customHeight="1" s="40">
      <c r="A375" s="48" t="n"/>
      <c r="B375" s="48" t="n"/>
      <c r="C375" s="47" t="n"/>
      <c r="D375" s="48" t="n"/>
      <c r="E375" s="48" t="n"/>
      <c r="F375" s="48" t="n"/>
      <c r="G375" s="47" t="n"/>
      <c r="H375" s="50" t="n"/>
      <c r="I375" s="50" t="n"/>
      <c r="J375" s="50" t="n"/>
      <c r="K375" s="50" t="n"/>
      <c r="L375" s="49" t="n"/>
      <c r="M375" s="49" t="n"/>
      <c r="N375" s="49" t="n"/>
      <c r="O375" s="49" t="n"/>
      <c r="P375" s="50" t="n"/>
      <c r="Q375" s="49" t="n"/>
      <c r="R375" s="56">
        <f>IF(Q375="","",IFERROR(VLOOKUP(Q375,Lookups!$A$2:$B$8,2,FALSE),""))</f>
        <v/>
      </c>
      <c r="S375" s="53">
        <f>IF(B375="","",B375&amp;"|"&amp;TEXT(C375,"00"))</f>
        <v/>
      </c>
      <c r="T375" s="53">
        <f>IF(B375="","",B375&amp;"|"&amp;TEXT(C375-1,"00"))</f>
        <v/>
      </c>
      <c r="U375" s="53">
        <f>IFERROR(INDEX($Q:$Q,MATCH(T375,$S:$S,0)),"")</f>
        <v/>
      </c>
      <c r="V375" s="56">
        <f>IFERROR(INDEX($R:$R,MATCH(T375,$S:$S,0)),"")</f>
        <v/>
      </c>
      <c r="W375" s="56">
        <f>IF(U375="","",IF(Q375&lt;&gt;U375,1,0))</f>
        <v/>
      </c>
      <c r="X375" s="56">
        <f>IF(V375="","",IF(R375&lt;V375,1,0))</f>
        <v/>
      </c>
      <c r="Y375" s="56">
        <f>IF(V375="","",IF(R375&gt;V375,1,0))</f>
        <v/>
      </c>
      <c r="Z375" s="56">
        <f>IF(Q375="Pass",1,0)</f>
        <v/>
      </c>
      <c r="AA375" s="50" t="n"/>
      <c r="AB375" s="50" t="n"/>
      <c r="AC375" s="49" t="n"/>
      <c r="AD375" s="50" t="n"/>
      <c r="AE375" s="49" t="n"/>
    </row>
    <row r="376" ht="15.75" customHeight="1" s="40">
      <c r="A376" s="48" t="n"/>
      <c r="B376" s="48" t="n"/>
      <c r="C376" s="47" t="n"/>
      <c r="D376" s="48" t="n"/>
      <c r="E376" s="48" t="n"/>
      <c r="F376" s="48" t="n"/>
      <c r="G376" s="47" t="n"/>
      <c r="H376" s="50" t="n"/>
      <c r="I376" s="50" t="n"/>
      <c r="J376" s="50" t="n"/>
      <c r="K376" s="50" t="n"/>
      <c r="L376" s="49" t="n"/>
      <c r="M376" s="49" t="n"/>
      <c r="N376" s="49" t="n"/>
      <c r="O376" s="49" t="n"/>
      <c r="P376" s="50" t="n"/>
      <c r="Q376" s="49" t="n"/>
      <c r="R376" s="56">
        <f>IF(Q376="","",IFERROR(VLOOKUP(Q376,Lookups!$A$2:$B$8,2,FALSE),""))</f>
        <v/>
      </c>
      <c r="S376" s="53">
        <f>IF(B376="","",B376&amp;"|"&amp;TEXT(C376,"00"))</f>
        <v/>
      </c>
      <c r="T376" s="53">
        <f>IF(B376="","",B376&amp;"|"&amp;TEXT(C376-1,"00"))</f>
        <v/>
      </c>
      <c r="U376" s="53">
        <f>IFERROR(INDEX($Q:$Q,MATCH(T376,$S:$S,0)),"")</f>
        <v/>
      </c>
      <c r="V376" s="56">
        <f>IFERROR(INDEX($R:$R,MATCH(T376,$S:$S,0)),"")</f>
        <v/>
      </c>
      <c r="W376" s="56">
        <f>IF(U376="","",IF(Q376&lt;&gt;U376,1,0))</f>
        <v/>
      </c>
      <c r="X376" s="56">
        <f>IF(V376="","",IF(R376&lt;V376,1,0))</f>
        <v/>
      </c>
      <c r="Y376" s="56">
        <f>IF(V376="","",IF(R376&gt;V376,1,0))</f>
        <v/>
      </c>
      <c r="Z376" s="56">
        <f>IF(Q376="Pass",1,0)</f>
        <v/>
      </c>
      <c r="AA376" s="50" t="n"/>
      <c r="AB376" s="50" t="n"/>
      <c r="AC376" s="49" t="n"/>
      <c r="AD376" s="50" t="n"/>
      <c r="AE376" s="49" t="n"/>
    </row>
    <row r="377" ht="15.75" customHeight="1" s="40">
      <c r="A377" s="48" t="n"/>
      <c r="B377" s="48" t="n"/>
      <c r="C377" s="47" t="n"/>
      <c r="D377" s="48" t="n"/>
      <c r="E377" s="48" t="n"/>
      <c r="F377" s="48" t="n"/>
      <c r="G377" s="47" t="n"/>
      <c r="H377" s="50" t="n"/>
      <c r="I377" s="50" t="n"/>
      <c r="J377" s="50" t="n"/>
      <c r="K377" s="50" t="n"/>
      <c r="L377" s="49" t="n"/>
      <c r="M377" s="49" t="n"/>
      <c r="N377" s="49" t="n"/>
      <c r="O377" s="49" t="n"/>
      <c r="P377" s="50" t="n"/>
      <c r="Q377" s="49" t="n"/>
      <c r="R377" s="56">
        <f>IF(Q377="","",IFERROR(VLOOKUP(Q377,Lookups!$A$2:$B$8,2,FALSE),""))</f>
        <v/>
      </c>
      <c r="S377" s="53">
        <f>IF(B377="","",B377&amp;"|"&amp;TEXT(C377,"00"))</f>
        <v/>
      </c>
      <c r="T377" s="53">
        <f>IF(B377="","",B377&amp;"|"&amp;TEXT(C377-1,"00"))</f>
        <v/>
      </c>
      <c r="U377" s="53">
        <f>IFERROR(INDEX($Q:$Q,MATCH(T377,$S:$S,0)),"")</f>
        <v/>
      </c>
      <c r="V377" s="56">
        <f>IFERROR(INDEX($R:$R,MATCH(T377,$S:$S,0)),"")</f>
        <v/>
      </c>
      <c r="W377" s="56">
        <f>IF(U377="","",IF(Q377&lt;&gt;U377,1,0))</f>
        <v/>
      </c>
      <c r="X377" s="56">
        <f>IF(V377="","",IF(R377&lt;V377,1,0))</f>
        <v/>
      </c>
      <c r="Y377" s="56">
        <f>IF(V377="","",IF(R377&gt;V377,1,0))</f>
        <v/>
      </c>
      <c r="Z377" s="56">
        <f>IF(Q377="Pass",1,0)</f>
        <v/>
      </c>
      <c r="AA377" s="50" t="n"/>
      <c r="AB377" s="50" t="n"/>
      <c r="AC377" s="49" t="n"/>
      <c r="AD377" s="50" t="n"/>
      <c r="AE377" s="49" t="n"/>
    </row>
    <row r="378" ht="15.75" customHeight="1" s="40">
      <c r="A378" s="48" t="n"/>
      <c r="B378" s="48" t="n"/>
      <c r="C378" s="47" t="n"/>
      <c r="D378" s="48" t="n"/>
      <c r="E378" s="48" t="n"/>
      <c r="F378" s="48" t="n"/>
      <c r="G378" s="47" t="n"/>
      <c r="H378" s="50" t="n"/>
      <c r="I378" s="50" t="n"/>
      <c r="J378" s="50" t="n"/>
      <c r="K378" s="50" t="n"/>
      <c r="L378" s="49" t="n"/>
      <c r="M378" s="49" t="n"/>
      <c r="N378" s="49" t="n"/>
      <c r="O378" s="49" t="n"/>
      <c r="P378" s="50" t="n"/>
      <c r="Q378" s="49" t="n"/>
      <c r="R378" s="56">
        <f>IF(Q378="","",IFERROR(VLOOKUP(Q378,Lookups!$A$2:$B$8,2,FALSE),""))</f>
        <v/>
      </c>
      <c r="S378" s="53">
        <f>IF(B378="","",B378&amp;"|"&amp;TEXT(C378,"00"))</f>
        <v/>
      </c>
      <c r="T378" s="53">
        <f>IF(B378="","",B378&amp;"|"&amp;TEXT(C378-1,"00"))</f>
        <v/>
      </c>
      <c r="U378" s="53">
        <f>IFERROR(INDEX($Q:$Q,MATCH(T378,$S:$S,0)),"")</f>
        <v/>
      </c>
      <c r="V378" s="56">
        <f>IFERROR(INDEX($R:$R,MATCH(T378,$S:$S,0)),"")</f>
        <v/>
      </c>
      <c r="W378" s="56">
        <f>IF(U378="","",IF(Q378&lt;&gt;U378,1,0))</f>
        <v/>
      </c>
      <c r="X378" s="56">
        <f>IF(V378="","",IF(R378&lt;V378,1,0))</f>
        <v/>
      </c>
      <c r="Y378" s="56">
        <f>IF(V378="","",IF(R378&gt;V378,1,0))</f>
        <v/>
      </c>
      <c r="Z378" s="56">
        <f>IF(Q378="Pass",1,0)</f>
        <v/>
      </c>
      <c r="AA378" s="50" t="n"/>
      <c r="AB378" s="50" t="n"/>
      <c r="AC378" s="49" t="n"/>
      <c r="AD378" s="50" t="n"/>
      <c r="AE378" s="49" t="n"/>
    </row>
    <row r="379" ht="15.75" customHeight="1" s="40">
      <c r="A379" s="48" t="n"/>
      <c r="B379" s="48" t="n"/>
      <c r="C379" s="47" t="n"/>
      <c r="D379" s="48" t="n"/>
      <c r="E379" s="48" t="n"/>
      <c r="F379" s="48" t="n"/>
      <c r="G379" s="47" t="n"/>
      <c r="H379" s="50" t="n"/>
      <c r="I379" s="50" t="n"/>
      <c r="J379" s="50" t="n"/>
      <c r="K379" s="50" t="n"/>
      <c r="L379" s="49" t="n"/>
      <c r="M379" s="49" t="n"/>
      <c r="N379" s="49" t="n"/>
      <c r="O379" s="49" t="n"/>
      <c r="P379" s="50" t="n"/>
      <c r="Q379" s="49" t="n"/>
      <c r="R379" s="56">
        <f>IF(Q379="","",IFERROR(VLOOKUP(Q379,Lookups!$A$2:$B$8,2,FALSE),""))</f>
        <v/>
      </c>
      <c r="S379" s="53">
        <f>IF(B379="","",B379&amp;"|"&amp;TEXT(C379,"00"))</f>
        <v/>
      </c>
      <c r="T379" s="53">
        <f>IF(B379="","",B379&amp;"|"&amp;TEXT(C379-1,"00"))</f>
        <v/>
      </c>
      <c r="U379" s="53">
        <f>IFERROR(INDEX($Q:$Q,MATCH(T379,$S:$S,0)),"")</f>
        <v/>
      </c>
      <c r="V379" s="56">
        <f>IFERROR(INDEX($R:$R,MATCH(T379,$S:$S,0)),"")</f>
        <v/>
      </c>
      <c r="W379" s="56">
        <f>IF(U379="","",IF(Q379&lt;&gt;U379,1,0))</f>
        <v/>
      </c>
      <c r="X379" s="56">
        <f>IF(V379="","",IF(R379&lt;V379,1,0))</f>
        <v/>
      </c>
      <c r="Y379" s="56">
        <f>IF(V379="","",IF(R379&gt;V379,1,0))</f>
        <v/>
      </c>
      <c r="Z379" s="56">
        <f>IF(Q379="Pass",1,0)</f>
        <v/>
      </c>
      <c r="AA379" s="50" t="n"/>
      <c r="AB379" s="50" t="n"/>
      <c r="AC379" s="49" t="n"/>
      <c r="AD379" s="50" t="n"/>
      <c r="AE379" s="49" t="n"/>
    </row>
    <row r="380" ht="15.75" customHeight="1" s="40">
      <c r="A380" s="48" t="n"/>
      <c r="B380" s="48" t="n"/>
      <c r="C380" s="47" t="n"/>
      <c r="D380" s="48" t="n"/>
      <c r="E380" s="48" t="n"/>
      <c r="F380" s="48" t="n"/>
      <c r="G380" s="47" t="n"/>
      <c r="H380" s="50" t="n"/>
      <c r="I380" s="50" t="n"/>
      <c r="J380" s="50" t="n"/>
      <c r="K380" s="50" t="n"/>
      <c r="L380" s="49" t="n"/>
      <c r="M380" s="49" t="n"/>
      <c r="N380" s="49" t="n"/>
      <c r="O380" s="49" t="n"/>
      <c r="P380" s="50" t="n"/>
      <c r="Q380" s="49" t="n"/>
      <c r="R380" s="56">
        <f>IF(Q380="","",IFERROR(VLOOKUP(Q380,Lookups!$A$2:$B$8,2,FALSE),""))</f>
        <v/>
      </c>
      <c r="S380" s="53">
        <f>IF(B380="","",B380&amp;"|"&amp;TEXT(C380,"00"))</f>
        <v/>
      </c>
      <c r="T380" s="53">
        <f>IF(B380="","",B380&amp;"|"&amp;TEXT(C380-1,"00"))</f>
        <v/>
      </c>
      <c r="U380" s="53">
        <f>IFERROR(INDEX($Q:$Q,MATCH(T380,$S:$S,0)),"")</f>
        <v/>
      </c>
      <c r="V380" s="56">
        <f>IFERROR(INDEX($R:$R,MATCH(T380,$S:$S,0)),"")</f>
        <v/>
      </c>
      <c r="W380" s="56">
        <f>IF(U380="","",IF(Q380&lt;&gt;U380,1,0))</f>
        <v/>
      </c>
      <c r="X380" s="56">
        <f>IF(V380="","",IF(R380&lt;V380,1,0))</f>
        <v/>
      </c>
      <c r="Y380" s="56">
        <f>IF(V380="","",IF(R380&gt;V380,1,0))</f>
        <v/>
      </c>
      <c r="Z380" s="56">
        <f>IF(Q380="Pass",1,0)</f>
        <v/>
      </c>
      <c r="AA380" s="50" t="n"/>
      <c r="AB380" s="50" t="n"/>
      <c r="AC380" s="49" t="n"/>
      <c r="AD380" s="50" t="n"/>
      <c r="AE380" s="49" t="n"/>
    </row>
    <row r="381" ht="15.75" customHeight="1" s="40">
      <c r="A381" s="48" t="n"/>
      <c r="B381" s="48" t="n"/>
      <c r="C381" s="47" t="n"/>
      <c r="D381" s="48" t="n"/>
      <c r="E381" s="48" t="n"/>
      <c r="F381" s="48" t="n"/>
      <c r="G381" s="47" t="n"/>
      <c r="H381" s="50" t="n"/>
      <c r="I381" s="50" t="n"/>
      <c r="J381" s="50" t="n"/>
      <c r="K381" s="50" t="n"/>
      <c r="L381" s="49" t="n"/>
      <c r="M381" s="49" t="n"/>
      <c r="N381" s="49" t="n"/>
      <c r="O381" s="49" t="n"/>
      <c r="P381" s="50" t="n"/>
      <c r="Q381" s="49" t="n"/>
      <c r="R381" s="56">
        <f>IF(Q381="","",IFERROR(VLOOKUP(Q381,Lookups!$A$2:$B$8,2,FALSE),""))</f>
        <v/>
      </c>
      <c r="S381" s="53">
        <f>IF(B381="","",B381&amp;"|"&amp;TEXT(C381,"00"))</f>
        <v/>
      </c>
      <c r="T381" s="53">
        <f>IF(B381="","",B381&amp;"|"&amp;TEXT(C381-1,"00"))</f>
        <v/>
      </c>
      <c r="U381" s="53">
        <f>IFERROR(INDEX($Q:$Q,MATCH(T381,$S:$S,0)),"")</f>
        <v/>
      </c>
      <c r="V381" s="56">
        <f>IFERROR(INDEX($R:$R,MATCH(T381,$S:$S,0)),"")</f>
        <v/>
      </c>
      <c r="W381" s="56">
        <f>IF(U381="","",IF(Q381&lt;&gt;U381,1,0))</f>
        <v/>
      </c>
      <c r="X381" s="56">
        <f>IF(V381="","",IF(R381&lt;V381,1,0))</f>
        <v/>
      </c>
      <c r="Y381" s="56">
        <f>IF(V381="","",IF(R381&gt;V381,1,0))</f>
        <v/>
      </c>
      <c r="Z381" s="56">
        <f>IF(Q381="Pass",1,0)</f>
        <v/>
      </c>
      <c r="AA381" s="50" t="n"/>
      <c r="AB381" s="50" t="n"/>
      <c r="AC381" s="49" t="n"/>
      <c r="AD381" s="50" t="n"/>
      <c r="AE381" s="49" t="n"/>
    </row>
    <row r="382" ht="15.75" customHeight="1" s="40">
      <c r="A382" s="48" t="n"/>
      <c r="B382" s="48" t="n"/>
      <c r="C382" s="47" t="n"/>
      <c r="D382" s="48" t="n"/>
      <c r="E382" s="48" t="n"/>
      <c r="F382" s="48" t="n"/>
      <c r="G382" s="47" t="n"/>
      <c r="H382" s="50" t="n"/>
      <c r="I382" s="50" t="n"/>
      <c r="J382" s="50" t="n"/>
      <c r="K382" s="50" t="n"/>
      <c r="L382" s="49" t="n"/>
      <c r="M382" s="49" t="n"/>
      <c r="N382" s="49" t="n"/>
      <c r="O382" s="49" t="n"/>
      <c r="P382" s="50" t="n"/>
      <c r="Q382" s="49" t="n"/>
      <c r="R382" s="56">
        <f>IF(Q382="","",IFERROR(VLOOKUP(Q382,Lookups!$A$2:$B$8,2,FALSE),""))</f>
        <v/>
      </c>
      <c r="S382" s="53">
        <f>IF(B382="","",B382&amp;"|"&amp;TEXT(C382,"00"))</f>
        <v/>
      </c>
      <c r="T382" s="53">
        <f>IF(B382="","",B382&amp;"|"&amp;TEXT(C382-1,"00"))</f>
        <v/>
      </c>
      <c r="U382" s="53">
        <f>IFERROR(INDEX($Q:$Q,MATCH(T382,$S:$S,0)),"")</f>
        <v/>
      </c>
      <c r="V382" s="56">
        <f>IFERROR(INDEX($R:$R,MATCH(T382,$S:$S,0)),"")</f>
        <v/>
      </c>
      <c r="W382" s="56">
        <f>IF(U382="","",IF(Q382&lt;&gt;U382,1,0))</f>
        <v/>
      </c>
      <c r="X382" s="56">
        <f>IF(V382="","",IF(R382&lt;V382,1,0))</f>
        <v/>
      </c>
      <c r="Y382" s="56">
        <f>IF(V382="","",IF(R382&gt;V382,1,0))</f>
        <v/>
      </c>
      <c r="Z382" s="56">
        <f>IF(Q382="Pass",1,0)</f>
        <v/>
      </c>
      <c r="AA382" s="50" t="n"/>
      <c r="AB382" s="50" t="n"/>
      <c r="AC382" s="49" t="n"/>
      <c r="AD382" s="50" t="n"/>
      <c r="AE382" s="49" t="n"/>
    </row>
    <row r="383" ht="15.75" customHeight="1" s="40">
      <c r="A383" s="48" t="n"/>
      <c r="B383" s="48" t="n"/>
      <c r="C383" s="47" t="n"/>
      <c r="D383" s="48" t="n"/>
      <c r="E383" s="48" t="n"/>
      <c r="F383" s="48" t="n"/>
      <c r="G383" s="47" t="n"/>
      <c r="H383" s="50" t="n"/>
      <c r="I383" s="50" t="n"/>
      <c r="J383" s="50" t="n"/>
      <c r="K383" s="50" t="n"/>
      <c r="L383" s="49" t="n"/>
      <c r="M383" s="49" t="n"/>
      <c r="N383" s="49" t="n"/>
      <c r="O383" s="49" t="n"/>
      <c r="P383" s="50" t="n"/>
      <c r="Q383" s="49" t="n"/>
      <c r="R383" s="56">
        <f>IF(Q383="","",IFERROR(VLOOKUP(Q383,Lookups!$A$2:$B$8,2,FALSE),""))</f>
        <v/>
      </c>
      <c r="S383" s="53">
        <f>IF(B383="","",B383&amp;"|"&amp;TEXT(C383,"00"))</f>
        <v/>
      </c>
      <c r="T383" s="53">
        <f>IF(B383="","",B383&amp;"|"&amp;TEXT(C383-1,"00"))</f>
        <v/>
      </c>
      <c r="U383" s="53">
        <f>IFERROR(INDEX($Q:$Q,MATCH(T383,$S:$S,0)),"")</f>
        <v/>
      </c>
      <c r="V383" s="56">
        <f>IFERROR(INDEX($R:$R,MATCH(T383,$S:$S,0)),"")</f>
        <v/>
      </c>
      <c r="W383" s="56">
        <f>IF(U383="","",IF(Q383&lt;&gt;U383,1,0))</f>
        <v/>
      </c>
      <c r="X383" s="56">
        <f>IF(V383="","",IF(R383&lt;V383,1,0))</f>
        <v/>
      </c>
      <c r="Y383" s="56">
        <f>IF(V383="","",IF(R383&gt;V383,1,0))</f>
        <v/>
      </c>
      <c r="Z383" s="56">
        <f>IF(Q383="Pass",1,0)</f>
        <v/>
      </c>
      <c r="AA383" s="50" t="n"/>
      <c r="AB383" s="50" t="n"/>
      <c r="AC383" s="49" t="n"/>
      <c r="AD383" s="50" t="n"/>
      <c r="AE383" s="49" t="n"/>
    </row>
    <row r="384" ht="15.75" customHeight="1" s="40">
      <c r="A384" s="48" t="n"/>
      <c r="B384" s="48" t="n"/>
      <c r="C384" s="47" t="n"/>
      <c r="D384" s="48" t="n"/>
      <c r="E384" s="48" t="n"/>
      <c r="F384" s="48" t="n"/>
      <c r="G384" s="47" t="n"/>
      <c r="H384" s="50" t="n"/>
      <c r="I384" s="50" t="n"/>
      <c r="J384" s="50" t="n"/>
      <c r="K384" s="50" t="n"/>
      <c r="L384" s="49" t="n"/>
      <c r="M384" s="49" t="n"/>
      <c r="N384" s="49" t="n"/>
      <c r="O384" s="49" t="n"/>
      <c r="P384" s="50" t="n"/>
      <c r="Q384" s="49" t="n"/>
      <c r="R384" s="56">
        <f>IF(Q384="","",IFERROR(VLOOKUP(Q384,Lookups!$A$2:$B$8,2,FALSE),""))</f>
        <v/>
      </c>
      <c r="S384" s="53">
        <f>IF(B384="","",B384&amp;"|"&amp;TEXT(C384,"00"))</f>
        <v/>
      </c>
      <c r="T384" s="53">
        <f>IF(B384="","",B384&amp;"|"&amp;TEXT(C384-1,"00"))</f>
        <v/>
      </c>
      <c r="U384" s="53">
        <f>IFERROR(INDEX($Q:$Q,MATCH(T384,$S:$S,0)),"")</f>
        <v/>
      </c>
      <c r="V384" s="56">
        <f>IFERROR(INDEX($R:$R,MATCH(T384,$S:$S,0)),"")</f>
        <v/>
      </c>
      <c r="W384" s="56">
        <f>IF(U384="","",IF(Q384&lt;&gt;U384,1,0))</f>
        <v/>
      </c>
      <c r="X384" s="56">
        <f>IF(V384="","",IF(R384&lt;V384,1,0))</f>
        <v/>
      </c>
      <c r="Y384" s="56">
        <f>IF(V384="","",IF(R384&gt;V384,1,0))</f>
        <v/>
      </c>
      <c r="Z384" s="56">
        <f>IF(Q384="Pass",1,0)</f>
        <v/>
      </c>
      <c r="AA384" s="50" t="n"/>
      <c r="AB384" s="50" t="n"/>
      <c r="AC384" s="49" t="n"/>
      <c r="AD384" s="50" t="n"/>
      <c r="AE384" s="49" t="n"/>
    </row>
    <row r="385" ht="15.75" customHeight="1" s="40">
      <c r="A385" s="48" t="n"/>
      <c r="B385" s="48" t="n"/>
      <c r="C385" s="47" t="n"/>
      <c r="D385" s="48" t="n"/>
      <c r="E385" s="48" t="n"/>
      <c r="F385" s="48" t="n"/>
      <c r="G385" s="47" t="n"/>
      <c r="H385" s="50" t="n"/>
      <c r="I385" s="50" t="n"/>
      <c r="J385" s="50" t="n"/>
      <c r="K385" s="50" t="n"/>
      <c r="L385" s="49" t="n"/>
      <c r="M385" s="49" t="n"/>
      <c r="N385" s="49" t="n"/>
      <c r="O385" s="49" t="n"/>
      <c r="P385" s="50" t="n"/>
      <c r="Q385" s="49" t="n"/>
      <c r="R385" s="56">
        <f>IF(Q385="","",IFERROR(VLOOKUP(Q385,Lookups!$A$2:$B$8,2,FALSE),""))</f>
        <v/>
      </c>
      <c r="S385" s="53">
        <f>IF(B385="","",B385&amp;"|"&amp;TEXT(C385,"00"))</f>
        <v/>
      </c>
      <c r="T385" s="53">
        <f>IF(B385="","",B385&amp;"|"&amp;TEXT(C385-1,"00"))</f>
        <v/>
      </c>
      <c r="U385" s="53">
        <f>IFERROR(INDEX($Q:$Q,MATCH(T385,$S:$S,0)),"")</f>
        <v/>
      </c>
      <c r="V385" s="56">
        <f>IFERROR(INDEX($R:$R,MATCH(T385,$S:$S,0)),"")</f>
        <v/>
      </c>
      <c r="W385" s="56">
        <f>IF(U385="","",IF(Q385&lt;&gt;U385,1,0))</f>
        <v/>
      </c>
      <c r="X385" s="56">
        <f>IF(V385="","",IF(R385&lt;V385,1,0))</f>
        <v/>
      </c>
      <c r="Y385" s="56">
        <f>IF(V385="","",IF(R385&gt;V385,1,0))</f>
        <v/>
      </c>
      <c r="Z385" s="56">
        <f>IF(Q385="Pass",1,0)</f>
        <v/>
      </c>
      <c r="AA385" s="50" t="n"/>
      <c r="AB385" s="50" t="n"/>
      <c r="AC385" s="49" t="n"/>
      <c r="AD385" s="50" t="n"/>
      <c r="AE385" s="49" t="n"/>
    </row>
    <row r="386" ht="15.75" customHeight="1" s="40">
      <c r="A386" s="48" t="n"/>
      <c r="B386" s="48" t="n"/>
      <c r="C386" s="47" t="n"/>
      <c r="D386" s="48" t="n"/>
      <c r="E386" s="48" t="n"/>
      <c r="F386" s="48" t="n"/>
      <c r="G386" s="47" t="n"/>
      <c r="H386" s="50" t="n"/>
      <c r="I386" s="50" t="n"/>
      <c r="J386" s="50" t="n"/>
      <c r="K386" s="50" t="n"/>
      <c r="L386" s="49" t="n"/>
      <c r="M386" s="49" t="n"/>
      <c r="N386" s="49" t="n"/>
      <c r="O386" s="49" t="n"/>
      <c r="P386" s="50" t="n"/>
      <c r="Q386" s="49" t="n"/>
      <c r="R386" s="56">
        <f>IF(Q386="","",IFERROR(VLOOKUP(Q386,Lookups!$A$2:$B$8,2,FALSE),""))</f>
        <v/>
      </c>
      <c r="S386" s="53">
        <f>IF(B386="","",B386&amp;"|"&amp;TEXT(C386,"00"))</f>
        <v/>
      </c>
      <c r="T386" s="53">
        <f>IF(B386="","",B386&amp;"|"&amp;TEXT(C386-1,"00"))</f>
        <v/>
      </c>
      <c r="U386" s="53">
        <f>IFERROR(INDEX($Q:$Q,MATCH(T386,$S:$S,0)),"")</f>
        <v/>
      </c>
      <c r="V386" s="56">
        <f>IFERROR(INDEX($R:$R,MATCH(T386,$S:$S,0)),"")</f>
        <v/>
      </c>
      <c r="W386" s="56">
        <f>IF(U386="","",IF(Q386&lt;&gt;U386,1,0))</f>
        <v/>
      </c>
      <c r="X386" s="56">
        <f>IF(V386="","",IF(R386&lt;V386,1,0))</f>
        <v/>
      </c>
      <c r="Y386" s="56">
        <f>IF(V386="","",IF(R386&gt;V386,1,0))</f>
        <v/>
      </c>
      <c r="Z386" s="56">
        <f>IF(Q386="Pass",1,0)</f>
        <v/>
      </c>
      <c r="AA386" s="50" t="n"/>
      <c r="AB386" s="50" t="n"/>
      <c r="AC386" s="49" t="n"/>
      <c r="AD386" s="50" t="n"/>
      <c r="AE386" s="49" t="n"/>
    </row>
    <row r="387" ht="15.75" customHeight="1" s="40">
      <c r="A387" s="48" t="n"/>
      <c r="B387" s="48" t="n"/>
      <c r="C387" s="47" t="n"/>
      <c r="D387" s="48" t="n"/>
      <c r="E387" s="48" t="n"/>
      <c r="F387" s="48" t="n"/>
      <c r="G387" s="47" t="n"/>
      <c r="H387" s="50" t="n"/>
      <c r="I387" s="50" t="n"/>
      <c r="J387" s="50" t="n"/>
      <c r="K387" s="50" t="n"/>
      <c r="L387" s="49" t="n"/>
      <c r="M387" s="49" t="n"/>
      <c r="N387" s="49" t="n"/>
      <c r="O387" s="49" t="n"/>
      <c r="P387" s="50" t="n"/>
      <c r="Q387" s="49" t="n"/>
      <c r="R387" s="56">
        <f>IF(Q387="","",IFERROR(VLOOKUP(Q387,Lookups!$A$2:$B$8,2,FALSE),""))</f>
        <v/>
      </c>
      <c r="S387" s="53">
        <f>IF(B387="","",B387&amp;"|"&amp;TEXT(C387,"00"))</f>
        <v/>
      </c>
      <c r="T387" s="53">
        <f>IF(B387="","",B387&amp;"|"&amp;TEXT(C387-1,"00"))</f>
        <v/>
      </c>
      <c r="U387" s="53">
        <f>IFERROR(INDEX($Q:$Q,MATCH(T387,$S:$S,0)),"")</f>
        <v/>
      </c>
      <c r="V387" s="56">
        <f>IFERROR(INDEX($R:$R,MATCH(T387,$S:$S,0)),"")</f>
        <v/>
      </c>
      <c r="W387" s="56">
        <f>IF(U387="","",IF(Q387&lt;&gt;U387,1,0))</f>
        <v/>
      </c>
      <c r="X387" s="56">
        <f>IF(V387="","",IF(R387&lt;V387,1,0))</f>
        <v/>
      </c>
      <c r="Y387" s="56">
        <f>IF(V387="","",IF(R387&gt;V387,1,0))</f>
        <v/>
      </c>
      <c r="Z387" s="56">
        <f>IF(Q387="Pass",1,0)</f>
        <v/>
      </c>
      <c r="AA387" s="50" t="n"/>
      <c r="AB387" s="50" t="n"/>
      <c r="AC387" s="49" t="n"/>
      <c r="AD387" s="50" t="n"/>
      <c r="AE387" s="49" t="n"/>
    </row>
    <row r="388" ht="15.75" customHeight="1" s="40">
      <c r="A388" s="48" t="n"/>
      <c r="B388" s="48" t="n"/>
      <c r="C388" s="47" t="n"/>
      <c r="D388" s="48" t="n"/>
      <c r="E388" s="48" t="n"/>
      <c r="F388" s="48" t="n"/>
      <c r="G388" s="47" t="n"/>
      <c r="H388" s="50" t="n"/>
      <c r="I388" s="50" t="n"/>
      <c r="J388" s="50" t="n"/>
      <c r="K388" s="50" t="n"/>
      <c r="L388" s="49" t="n"/>
      <c r="M388" s="49" t="n"/>
      <c r="N388" s="49" t="n"/>
      <c r="O388" s="49" t="n"/>
      <c r="P388" s="50" t="n"/>
      <c r="Q388" s="49" t="n"/>
      <c r="R388" s="56">
        <f>IF(Q388="","",IFERROR(VLOOKUP(Q388,Lookups!$A$2:$B$8,2,FALSE),""))</f>
        <v/>
      </c>
      <c r="S388" s="53">
        <f>IF(B388="","",B388&amp;"|"&amp;TEXT(C388,"00"))</f>
        <v/>
      </c>
      <c r="T388" s="53">
        <f>IF(B388="","",B388&amp;"|"&amp;TEXT(C388-1,"00"))</f>
        <v/>
      </c>
      <c r="U388" s="53">
        <f>IFERROR(INDEX($Q:$Q,MATCH(T388,$S:$S,0)),"")</f>
        <v/>
      </c>
      <c r="V388" s="56">
        <f>IFERROR(INDEX($R:$R,MATCH(T388,$S:$S,0)),"")</f>
        <v/>
      </c>
      <c r="W388" s="56">
        <f>IF(U388="","",IF(Q388&lt;&gt;U388,1,0))</f>
        <v/>
      </c>
      <c r="X388" s="56">
        <f>IF(V388="","",IF(R388&lt;V388,1,0))</f>
        <v/>
      </c>
      <c r="Y388" s="56">
        <f>IF(V388="","",IF(R388&gt;V388,1,0))</f>
        <v/>
      </c>
      <c r="Z388" s="56">
        <f>IF(Q388="Pass",1,0)</f>
        <v/>
      </c>
      <c r="AA388" s="50" t="n"/>
      <c r="AB388" s="50" t="n"/>
      <c r="AC388" s="49" t="n"/>
      <c r="AD388" s="50" t="n"/>
      <c r="AE388" s="49" t="n"/>
    </row>
    <row r="389" ht="15.75" customHeight="1" s="40">
      <c r="A389" s="48" t="n"/>
      <c r="B389" s="48" t="n"/>
      <c r="C389" s="47" t="n"/>
      <c r="D389" s="48" t="n"/>
      <c r="E389" s="48" t="n"/>
      <c r="F389" s="48" t="n"/>
      <c r="G389" s="47" t="n"/>
      <c r="H389" s="50" t="n"/>
      <c r="I389" s="50" t="n"/>
      <c r="J389" s="50" t="n"/>
      <c r="K389" s="50" t="n"/>
      <c r="L389" s="49" t="n"/>
      <c r="M389" s="49" t="n"/>
      <c r="N389" s="49" t="n"/>
      <c r="O389" s="49" t="n"/>
      <c r="P389" s="50" t="n"/>
      <c r="Q389" s="49" t="n"/>
      <c r="R389" s="56">
        <f>IF(Q389="","",IFERROR(VLOOKUP(Q389,Lookups!$A$2:$B$8,2,FALSE),""))</f>
        <v/>
      </c>
      <c r="S389" s="53">
        <f>IF(B389="","",B389&amp;"|"&amp;TEXT(C389,"00"))</f>
        <v/>
      </c>
      <c r="T389" s="53">
        <f>IF(B389="","",B389&amp;"|"&amp;TEXT(C389-1,"00"))</f>
        <v/>
      </c>
      <c r="U389" s="53">
        <f>IFERROR(INDEX($Q:$Q,MATCH(T389,$S:$S,0)),"")</f>
        <v/>
      </c>
      <c r="V389" s="56">
        <f>IFERROR(INDEX($R:$R,MATCH(T389,$S:$S,0)),"")</f>
        <v/>
      </c>
      <c r="W389" s="56">
        <f>IF(U389="","",IF(Q389&lt;&gt;U389,1,0))</f>
        <v/>
      </c>
      <c r="X389" s="56">
        <f>IF(V389="","",IF(R389&lt;V389,1,0))</f>
        <v/>
      </c>
      <c r="Y389" s="56">
        <f>IF(V389="","",IF(R389&gt;V389,1,0))</f>
        <v/>
      </c>
      <c r="Z389" s="56">
        <f>IF(Q389="Pass",1,0)</f>
        <v/>
      </c>
      <c r="AA389" s="50" t="n"/>
      <c r="AB389" s="50" t="n"/>
      <c r="AC389" s="49" t="n"/>
      <c r="AD389" s="50" t="n"/>
      <c r="AE389" s="49" t="n"/>
    </row>
    <row r="390" ht="15.75" customHeight="1" s="40">
      <c r="A390" s="48" t="n"/>
      <c r="B390" s="48" t="n"/>
      <c r="C390" s="47" t="n"/>
      <c r="D390" s="48" t="n"/>
      <c r="E390" s="48" t="n"/>
      <c r="F390" s="48" t="n"/>
      <c r="G390" s="47" t="n"/>
      <c r="H390" s="50" t="n"/>
      <c r="I390" s="50" t="n"/>
      <c r="J390" s="50" t="n"/>
      <c r="K390" s="50" t="n"/>
      <c r="L390" s="49" t="n"/>
      <c r="M390" s="49" t="n"/>
      <c r="N390" s="49" t="n"/>
      <c r="O390" s="49" t="n"/>
      <c r="P390" s="50" t="n"/>
      <c r="Q390" s="49" t="n"/>
      <c r="R390" s="56">
        <f>IF(Q390="","",IFERROR(VLOOKUP(Q390,Lookups!$A$2:$B$8,2,FALSE),""))</f>
        <v/>
      </c>
      <c r="S390" s="53">
        <f>IF(B390="","",B390&amp;"|"&amp;TEXT(C390,"00"))</f>
        <v/>
      </c>
      <c r="T390" s="53">
        <f>IF(B390="","",B390&amp;"|"&amp;TEXT(C390-1,"00"))</f>
        <v/>
      </c>
      <c r="U390" s="53">
        <f>IFERROR(INDEX($Q:$Q,MATCH(T390,$S:$S,0)),"")</f>
        <v/>
      </c>
      <c r="V390" s="56">
        <f>IFERROR(INDEX($R:$R,MATCH(T390,$S:$S,0)),"")</f>
        <v/>
      </c>
      <c r="W390" s="56">
        <f>IF(U390="","",IF(Q390&lt;&gt;U390,1,0))</f>
        <v/>
      </c>
      <c r="X390" s="56">
        <f>IF(V390="","",IF(R390&lt;V390,1,0))</f>
        <v/>
      </c>
      <c r="Y390" s="56">
        <f>IF(V390="","",IF(R390&gt;V390,1,0))</f>
        <v/>
      </c>
      <c r="Z390" s="56">
        <f>IF(Q390="Pass",1,0)</f>
        <v/>
      </c>
      <c r="AA390" s="50" t="n"/>
      <c r="AB390" s="50" t="n"/>
      <c r="AC390" s="49" t="n"/>
      <c r="AD390" s="50" t="n"/>
      <c r="AE390" s="49" t="n"/>
    </row>
    <row r="391" ht="15.75" customHeight="1" s="40">
      <c r="A391" s="48" t="n"/>
      <c r="B391" s="48" t="n"/>
      <c r="C391" s="47" t="n"/>
      <c r="D391" s="48" t="n"/>
      <c r="E391" s="48" t="n"/>
      <c r="F391" s="48" t="n"/>
      <c r="G391" s="47" t="n"/>
      <c r="H391" s="50" t="n"/>
      <c r="I391" s="50" t="n"/>
      <c r="J391" s="50" t="n"/>
      <c r="K391" s="50" t="n"/>
      <c r="L391" s="49" t="n"/>
      <c r="M391" s="49" t="n"/>
      <c r="N391" s="49" t="n"/>
      <c r="O391" s="49" t="n"/>
      <c r="P391" s="50" t="n"/>
      <c r="Q391" s="49" t="n"/>
      <c r="R391" s="56">
        <f>IF(Q391="","",IFERROR(VLOOKUP(Q391,Lookups!$A$2:$B$8,2,FALSE),""))</f>
        <v/>
      </c>
      <c r="S391" s="53">
        <f>IF(B391="","",B391&amp;"|"&amp;TEXT(C391,"00"))</f>
        <v/>
      </c>
      <c r="T391" s="53">
        <f>IF(B391="","",B391&amp;"|"&amp;TEXT(C391-1,"00"))</f>
        <v/>
      </c>
      <c r="U391" s="53">
        <f>IFERROR(INDEX($Q:$Q,MATCH(T391,$S:$S,0)),"")</f>
        <v/>
      </c>
      <c r="V391" s="56">
        <f>IFERROR(INDEX($R:$R,MATCH(T391,$S:$S,0)),"")</f>
        <v/>
      </c>
      <c r="W391" s="56">
        <f>IF(U391="","",IF(Q391&lt;&gt;U391,1,0))</f>
        <v/>
      </c>
      <c r="X391" s="56">
        <f>IF(V391="","",IF(R391&lt;V391,1,0))</f>
        <v/>
      </c>
      <c r="Y391" s="56">
        <f>IF(V391="","",IF(R391&gt;V391,1,0))</f>
        <v/>
      </c>
      <c r="Z391" s="56">
        <f>IF(Q391="Pass",1,0)</f>
        <v/>
      </c>
      <c r="AA391" s="50" t="n"/>
      <c r="AB391" s="50" t="n"/>
      <c r="AC391" s="49" t="n"/>
      <c r="AD391" s="50" t="n"/>
      <c r="AE391" s="49" t="n"/>
    </row>
    <row r="392" ht="15.75" customHeight="1" s="40">
      <c r="A392" s="48" t="n"/>
      <c r="B392" s="48" t="n"/>
      <c r="C392" s="47" t="n"/>
      <c r="D392" s="48" t="n"/>
      <c r="E392" s="48" t="n"/>
      <c r="F392" s="48" t="n"/>
      <c r="G392" s="47" t="n"/>
      <c r="H392" s="50" t="n"/>
      <c r="I392" s="50" t="n"/>
      <c r="J392" s="50" t="n"/>
      <c r="K392" s="50" t="n"/>
      <c r="L392" s="49" t="n"/>
      <c r="M392" s="49" t="n"/>
      <c r="N392" s="49" t="n"/>
      <c r="O392" s="49" t="n"/>
      <c r="P392" s="50" t="n"/>
      <c r="Q392" s="49" t="n"/>
      <c r="R392" s="56">
        <f>IF(Q392="","",IFERROR(VLOOKUP(Q392,Lookups!$A$2:$B$8,2,FALSE),""))</f>
        <v/>
      </c>
      <c r="S392" s="53">
        <f>IF(B392="","",B392&amp;"|"&amp;TEXT(C392,"00"))</f>
        <v/>
      </c>
      <c r="T392" s="53">
        <f>IF(B392="","",B392&amp;"|"&amp;TEXT(C392-1,"00"))</f>
        <v/>
      </c>
      <c r="U392" s="53">
        <f>IFERROR(INDEX($Q:$Q,MATCH(T392,$S:$S,0)),"")</f>
        <v/>
      </c>
      <c r="V392" s="56">
        <f>IFERROR(INDEX($R:$R,MATCH(T392,$S:$S,0)),"")</f>
        <v/>
      </c>
      <c r="W392" s="56">
        <f>IF(U392="","",IF(Q392&lt;&gt;U392,1,0))</f>
        <v/>
      </c>
      <c r="X392" s="56">
        <f>IF(V392="","",IF(R392&lt;V392,1,0))</f>
        <v/>
      </c>
      <c r="Y392" s="56">
        <f>IF(V392="","",IF(R392&gt;V392,1,0))</f>
        <v/>
      </c>
      <c r="Z392" s="56">
        <f>IF(Q392="Pass",1,0)</f>
        <v/>
      </c>
      <c r="AA392" s="50" t="n"/>
      <c r="AB392" s="50" t="n"/>
      <c r="AC392" s="49" t="n"/>
      <c r="AD392" s="50" t="n"/>
      <c r="AE392" s="49" t="n"/>
    </row>
    <row r="393" ht="15.75" customHeight="1" s="40">
      <c r="A393" s="48" t="n"/>
      <c r="B393" s="48" t="n"/>
      <c r="C393" s="47" t="n"/>
      <c r="D393" s="48" t="n"/>
      <c r="E393" s="48" t="n"/>
      <c r="F393" s="48" t="n"/>
      <c r="G393" s="47" t="n"/>
      <c r="H393" s="50" t="n"/>
      <c r="I393" s="50" t="n"/>
      <c r="J393" s="50" t="n"/>
      <c r="K393" s="50" t="n"/>
      <c r="L393" s="49" t="n"/>
      <c r="M393" s="49" t="n"/>
      <c r="N393" s="49" t="n"/>
      <c r="O393" s="49" t="n"/>
      <c r="P393" s="50" t="n"/>
      <c r="Q393" s="49" t="n"/>
      <c r="R393" s="56">
        <f>IF(Q393="","",IFERROR(VLOOKUP(Q393,Lookups!$A$2:$B$8,2,FALSE),""))</f>
        <v/>
      </c>
      <c r="S393" s="53">
        <f>IF(B393="","",B393&amp;"|"&amp;TEXT(C393,"00"))</f>
        <v/>
      </c>
      <c r="T393" s="53">
        <f>IF(B393="","",B393&amp;"|"&amp;TEXT(C393-1,"00"))</f>
        <v/>
      </c>
      <c r="U393" s="53">
        <f>IFERROR(INDEX($Q:$Q,MATCH(T393,$S:$S,0)),"")</f>
        <v/>
      </c>
      <c r="V393" s="56">
        <f>IFERROR(INDEX($R:$R,MATCH(T393,$S:$S,0)),"")</f>
        <v/>
      </c>
      <c r="W393" s="56">
        <f>IF(U393="","",IF(Q393&lt;&gt;U393,1,0))</f>
        <v/>
      </c>
      <c r="X393" s="56">
        <f>IF(V393="","",IF(R393&lt;V393,1,0))</f>
        <v/>
      </c>
      <c r="Y393" s="56">
        <f>IF(V393="","",IF(R393&gt;V393,1,0))</f>
        <v/>
      </c>
      <c r="Z393" s="56">
        <f>IF(Q393="Pass",1,0)</f>
        <v/>
      </c>
      <c r="AA393" s="50" t="n"/>
      <c r="AB393" s="50" t="n"/>
      <c r="AC393" s="49" t="n"/>
      <c r="AD393" s="50" t="n"/>
      <c r="AE393" s="49" t="n"/>
    </row>
    <row r="394" ht="15.75" customHeight="1" s="40">
      <c r="A394" s="48" t="n"/>
      <c r="B394" s="48" t="n"/>
      <c r="C394" s="47" t="n"/>
      <c r="D394" s="48" t="n"/>
      <c r="E394" s="48" t="n"/>
      <c r="F394" s="48" t="n"/>
      <c r="G394" s="47" t="n"/>
      <c r="H394" s="50" t="n"/>
      <c r="I394" s="50" t="n"/>
      <c r="J394" s="50" t="n"/>
      <c r="K394" s="50" t="n"/>
      <c r="L394" s="49" t="n"/>
      <c r="M394" s="49" t="n"/>
      <c r="N394" s="49" t="n"/>
      <c r="O394" s="49" t="n"/>
      <c r="P394" s="50" t="n"/>
      <c r="Q394" s="49" t="n"/>
      <c r="R394" s="56">
        <f>IF(Q394="","",IFERROR(VLOOKUP(Q394,Lookups!$A$2:$B$8,2,FALSE),""))</f>
        <v/>
      </c>
      <c r="S394" s="53">
        <f>IF(B394="","",B394&amp;"|"&amp;TEXT(C394,"00"))</f>
        <v/>
      </c>
      <c r="T394" s="53">
        <f>IF(B394="","",B394&amp;"|"&amp;TEXT(C394-1,"00"))</f>
        <v/>
      </c>
      <c r="U394" s="53">
        <f>IFERROR(INDEX($Q:$Q,MATCH(T394,$S:$S,0)),"")</f>
        <v/>
      </c>
      <c r="V394" s="56">
        <f>IFERROR(INDEX($R:$R,MATCH(T394,$S:$S,0)),"")</f>
        <v/>
      </c>
      <c r="W394" s="56">
        <f>IF(U394="","",IF(Q394&lt;&gt;U394,1,0))</f>
        <v/>
      </c>
      <c r="X394" s="56">
        <f>IF(V394="","",IF(R394&lt;V394,1,0))</f>
        <v/>
      </c>
      <c r="Y394" s="56">
        <f>IF(V394="","",IF(R394&gt;V394,1,0))</f>
        <v/>
      </c>
      <c r="Z394" s="56">
        <f>IF(Q394="Pass",1,0)</f>
        <v/>
      </c>
      <c r="AA394" s="50" t="n"/>
      <c r="AB394" s="50" t="n"/>
      <c r="AC394" s="49" t="n"/>
      <c r="AD394" s="50" t="n"/>
      <c r="AE394" s="49" t="n"/>
    </row>
    <row r="395" ht="15.75" customHeight="1" s="40">
      <c r="A395" s="48" t="n"/>
      <c r="B395" s="48" t="n"/>
      <c r="C395" s="47" t="n"/>
      <c r="D395" s="48" t="n"/>
      <c r="E395" s="48" t="n"/>
      <c r="F395" s="48" t="n"/>
      <c r="G395" s="47" t="n"/>
      <c r="H395" s="50" t="n"/>
      <c r="I395" s="50" t="n"/>
      <c r="J395" s="50" t="n"/>
      <c r="K395" s="50" t="n"/>
      <c r="L395" s="49" t="n"/>
      <c r="M395" s="49" t="n"/>
      <c r="N395" s="49" t="n"/>
      <c r="O395" s="49" t="n"/>
      <c r="P395" s="50" t="n"/>
      <c r="Q395" s="49" t="n"/>
      <c r="R395" s="56">
        <f>IF(Q395="","",IFERROR(VLOOKUP(Q395,Lookups!$A$2:$B$8,2,FALSE),""))</f>
        <v/>
      </c>
      <c r="S395" s="53">
        <f>IF(B395="","",B395&amp;"|"&amp;TEXT(C395,"00"))</f>
        <v/>
      </c>
      <c r="T395" s="53">
        <f>IF(B395="","",B395&amp;"|"&amp;TEXT(C395-1,"00"))</f>
        <v/>
      </c>
      <c r="U395" s="53">
        <f>IFERROR(INDEX($Q:$Q,MATCH(T395,$S:$S,0)),"")</f>
        <v/>
      </c>
      <c r="V395" s="56">
        <f>IFERROR(INDEX($R:$R,MATCH(T395,$S:$S,0)),"")</f>
        <v/>
      </c>
      <c r="W395" s="56">
        <f>IF(U395="","",IF(Q395&lt;&gt;U395,1,0))</f>
        <v/>
      </c>
      <c r="X395" s="56">
        <f>IF(V395="","",IF(R395&lt;V395,1,0))</f>
        <v/>
      </c>
      <c r="Y395" s="56">
        <f>IF(V395="","",IF(R395&gt;V395,1,0))</f>
        <v/>
      </c>
      <c r="Z395" s="56">
        <f>IF(Q395="Pass",1,0)</f>
        <v/>
      </c>
      <c r="AA395" s="50" t="n"/>
      <c r="AB395" s="50" t="n"/>
      <c r="AC395" s="49" t="n"/>
      <c r="AD395" s="50" t="n"/>
      <c r="AE395" s="49" t="n"/>
    </row>
    <row r="396" ht="15.75" customHeight="1" s="40">
      <c r="A396" s="48" t="n"/>
      <c r="B396" s="48" t="n"/>
      <c r="C396" s="47" t="n"/>
      <c r="D396" s="48" t="n"/>
      <c r="E396" s="48" t="n"/>
      <c r="F396" s="48" t="n"/>
      <c r="G396" s="47" t="n"/>
      <c r="H396" s="50" t="n"/>
      <c r="I396" s="50" t="n"/>
      <c r="J396" s="50" t="n"/>
      <c r="K396" s="50" t="n"/>
      <c r="L396" s="49" t="n"/>
      <c r="M396" s="49" t="n"/>
      <c r="N396" s="49" t="n"/>
      <c r="O396" s="49" t="n"/>
      <c r="P396" s="50" t="n"/>
      <c r="Q396" s="49" t="n"/>
      <c r="R396" s="56">
        <f>IF(Q396="","",IFERROR(VLOOKUP(Q396,Lookups!$A$2:$B$8,2,FALSE),""))</f>
        <v/>
      </c>
      <c r="S396" s="53">
        <f>IF(B396="","",B396&amp;"|"&amp;TEXT(C396,"00"))</f>
        <v/>
      </c>
      <c r="T396" s="53">
        <f>IF(B396="","",B396&amp;"|"&amp;TEXT(C396-1,"00"))</f>
        <v/>
      </c>
      <c r="U396" s="53">
        <f>IFERROR(INDEX($Q:$Q,MATCH(T396,$S:$S,0)),"")</f>
        <v/>
      </c>
      <c r="V396" s="56">
        <f>IFERROR(INDEX($R:$R,MATCH(T396,$S:$S,0)),"")</f>
        <v/>
      </c>
      <c r="W396" s="56">
        <f>IF(U396="","",IF(Q396&lt;&gt;U396,1,0))</f>
        <v/>
      </c>
      <c r="X396" s="56">
        <f>IF(V396="","",IF(R396&lt;V396,1,0))</f>
        <v/>
      </c>
      <c r="Y396" s="56">
        <f>IF(V396="","",IF(R396&gt;V396,1,0))</f>
        <v/>
      </c>
      <c r="Z396" s="56">
        <f>IF(Q396="Pass",1,0)</f>
        <v/>
      </c>
      <c r="AA396" s="50" t="n"/>
      <c r="AB396" s="50" t="n"/>
      <c r="AC396" s="49" t="n"/>
      <c r="AD396" s="50" t="n"/>
      <c r="AE396" s="49" t="n"/>
    </row>
    <row r="397" ht="15.75" customHeight="1" s="40">
      <c r="A397" s="48" t="n"/>
      <c r="B397" s="48" t="n"/>
      <c r="C397" s="47" t="n"/>
      <c r="D397" s="48" t="n"/>
      <c r="E397" s="48" t="n"/>
      <c r="F397" s="48" t="n"/>
      <c r="G397" s="47" t="n"/>
      <c r="H397" s="50" t="n"/>
      <c r="I397" s="50" t="n"/>
      <c r="J397" s="50" t="n"/>
      <c r="K397" s="50" t="n"/>
      <c r="L397" s="49" t="n"/>
      <c r="M397" s="49" t="n"/>
      <c r="N397" s="49" t="n"/>
      <c r="O397" s="49" t="n"/>
      <c r="P397" s="50" t="n"/>
      <c r="Q397" s="49" t="n"/>
      <c r="R397" s="56">
        <f>IF(Q397="","",IFERROR(VLOOKUP(Q397,Lookups!$A$2:$B$8,2,FALSE),""))</f>
        <v/>
      </c>
      <c r="S397" s="53">
        <f>IF(B397="","",B397&amp;"|"&amp;TEXT(C397,"00"))</f>
        <v/>
      </c>
      <c r="T397" s="53">
        <f>IF(B397="","",B397&amp;"|"&amp;TEXT(C397-1,"00"))</f>
        <v/>
      </c>
      <c r="U397" s="53">
        <f>IFERROR(INDEX($Q:$Q,MATCH(T397,$S:$S,0)),"")</f>
        <v/>
      </c>
      <c r="V397" s="56">
        <f>IFERROR(INDEX($R:$R,MATCH(T397,$S:$S,0)),"")</f>
        <v/>
      </c>
      <c r="W397" s="56">
        <f>IF(U397="","",IF(Q397&lt;&gt;U397,1,0))</f>
        <v/>
      </c>
      <c r="X397" s="56">
        <f>IF(V397="","",IF(R397&lt;V397,1,0))</f>
        <v/>
      </c>
      <c r="Y397" s="56">
        <f>IF(V397="","",IF(R397&gt;V397,1,0))</f>
        <v/>
      </c>
      <c r="Z397" s="56">
        <f>IF(Q397="Pass",1,0)</f>
        <v/>
      </c>
      <c r="AA397" s="50" t="n"/>
      <c r="AB397" s="50" t="n"/>
      <c r="AC397" s="49" t="n"/>
      <c r="AD397" s="50" t="n"/>
      <c r="AE397" s="49" t="n"/>
    </row>
    <row r="398" ht="15.75" customHeight="1" s="40">
      <c r="A398" s="48" t="n"/>
      <c r="B398" s="48" t="n"/>
      <c r="C398" s="47" t="n"/>
      <c r="D398" s="48" t="n"/>
      <c r="E398" s="48" t="n"/>
      <c r="F398" s="48" t="n"/>
      <c r="G398" s="47" t="n"/>
      <c r="H398" s="50" t="n"/>
      <c r="I398" s="50" t="n"/>
      <c r="J398" s="50" t="n"/>
      <c r="K398" s="50" t="n"/>
      <c r="L398" s="49" t="n"/>
      <c r="M398" s="49" t="n"/>
      <c r="N398" s="49" t="n"/>
      <c r="O398" s="49" t="n"/>
      <c r="P398" s="50" t="n"/>
      <c r="Q398" s="49" t="n"/>
      <c r="R398" s="56">
        <f>IF(Q398="","",IFERROR(VLOOKUP(Q398,Lookups!$A$2:$B$8,2,FALSE),""))</f>
        <v/>
      </c>
      <c r="S398" s="53">
        <f>IF(B398="","",B398&amp;"|"&amp;TEXT(C398,"00"))</f>
        <v/>
      </c>
      <c r="T398" s="53">
        <f>IF(B398="","",B398&amp;"|"&amp;TEXT(C398-1,"00"))</f>
        <v/>
      </c>
      <c r="U398" s="53">
        <f>IFERROR(INDEX($Q:$Q,MATCH(T398,$S:$S,0)),"")</f>
        <v/>
      </c>
      <c r="V398" s="56">
        <f>IFERROR(INDEX($R:$R,MATCH(T398,$S:$S,0)),"")</f>
        <v/>
      </c>
      <c r="W398" s="56">
        <f>IF(U398="","",IF(Q398&lt;&gt;U398,1,0))</f>
        <v/>
      </c>
      <c r="X398" s="56">
        <f>IF(V398="","",IF(R398&lt;V398,1,0))</f>
        <v/>
      </c>
      <c r="Y398" s="56">
        <f>IF(V398="","",IF(R398&gt;V398,1,0))</f>
        <v/>
      </c>
      <c r="Z398" s="56">
        <f>IF(Q398="Pass",1,0)</f>
        <v/>
      </c>
      <c r="AA398" s="50" t="n"/>
      <c r="AB398" s="50" t="n"/>
      <c r="AC398" s="49" t="n"/>
      <c r="AD398" s="50" t="n"/>
      <c r="AE398" s="49" t="n"/>
    </row>
    <row r="399" ht="15.75" customHeight="1" s="40">
      <c r="A399" s="48" t="n"/>
      <c r="B399" s="48" t="n"/>
      <c r="C399" s="47" t="n"/>
      <c r="D399" s="48" t="n"/>
      <c r="E399" s="48" t="n"/>
      <c r="F399" s="48" t="n"/>
      <c r="G399" s="47" t="n"/>
      <c r="H399" s="50" t="n"/>
      <c r="I399" s="50" t="n"/>
      <c r="J399" s="50" t="n"/>
      <c r="K399" s="50" t="n"/>
      <c r="L399" s="49" t="n"/>
      <c r="M399" s="49" t="n"/>
      <c r="N399" s="49" t="n"/>
      <c r="O399" s="49" t="n"/>
      <c r="P399" s="50" t="n"/>
      <c r="Q399" s="49" t="n"/>
      <c r="R399" s="56">
        <f>IF(Q399="","",IFERROR(VLOOKUP(Q399,Lookups!$A$2:$B$8,2,FALSE),""))</f>
        <v/>
      </c>
      <c r="S399" s="53">
        <f>IF(B399="","",B399&amp;"|"&amp;TEXT(C399,"00"))</f>
        <v/>
      </c>
      <c r="T399" s="53">
        <f>IF(B399="","",B399&amp;"|"&amp;TEXT(C399-1,"00"))</f>
        <v/>
      </c>
      <c r="U399" s="53">
        <f>IFERROR(INDEX($Q:$Q,MATCH(T399,$S:$S,0)),"")</f>
        <v/>
      </c>
      <c r="V399" s="56">
        <f>IFERROR(INDEX($R:$R,MATCH(T399,$S:$S,0)),"")</f>
        <v/>
      </c>
      <c r="W399" s="56">
        <f>IF(U399="","",IF(Q399&lt;&gt;U399,1,0))</f>
        <v/>
      </c>
      <c r="X399" s="56">
        <f>IF(V399="","",IF(R399&lt;V399,1,0))</f>
        <v/>
      </c>
      <c r="Y399" s="56">
        <f>IF(V399="","",IF(R399&gt;V399,1,0))</f>
        <v/>
      </c>
      <c r="Z399" s="56">
        <f>IF(Q399="Pass",1,0)</f>
        <v/>
      </c>
      <c r="AA399" s="50" t="n"/>
      <c r="AB399" s="50" t="n"/>
      <c r="AC399" s="49" t="n"/>
      <c r="AD399" s="50" t="n"/>
      <c r="AE399" s="49" t="n"/>
    </row>
    <row r="400" ht="15.75" customHeight="1" s="40">
      <c r="A400" s="48" t="n"/>
      <c r="B400" s="48" t="n"/>
      <c r="C400" s="47" t="n"/>
      <c r="D400" s="48" t="n"/>
      <c r="E400" s="48" t="n"/>
      <c r="F400" s="48" t="n"/>
      <c r="G400" s="47" t="n"/>
      <c r="H400" s="50" t="n"/>
      <c r="I400" s="50" t="n"/>
      <c r="J400" s="50" t="n"/>
      <c r="K400" s="50" t="n"/>
      <c r="L400" s="49" t="n"/>
      <c r="M400" s="49" t="n"/>
      <c r="N400" s="49" t="n"/>
      <c r="O400" s="49" t="n"/>
      <c r="P400" s="50" t="n"/>
      <c r="Q400" s="49" t="n"/>
      <c r="R400" s="56">
        <f>IF(Q400="","",IFERROR(VLOOKUP(Q400,Lookups!$A$2:$B$8,2,FALSE),""))</f>
        <v/>
      </c>
      <c r="S400" s="53">
        <f>IF(B400="","",B400&amp;"|"&amp;TEXT(C400,"00"))</f>
        <v/>
      </c>
      <c r="T400" s="53">
        <f>IF(B400="","",B400&amp;"|"&amp;TEXT(C400-1,"00"))</f>
        <v/>
      </c>
      <c r="U400" s="53">
        <f>IFERROR(INDEX($Q:$Q,MATCH(T400,$S:$S,0)),"")</f>
        <v/>
      </c>
      <c r="V400" s="56">
        <f>IFERROR(INDEX($R:$R,MATCH(T400,$S:$S,0)),"")</f>
        <v/>
      </c>
      <c r="W400" s="56">
        <f>IF(U400="","",IF(Q400&lt;&gt;U400,1,0))</f>
        <v/>
      </c>
      <c r="X400" s="56">
        <f>IF(V400="","",IF(R400&lt;V400,1,0))</f>
        <v/>
      </c>
      <c r="Y400" s="56">
        <f>IF(V400="","",IF(R400&gt;V400,1,0))</f>
        <v/>
      </c>
      <c r="Z400" s="56">
        <f>IF(Q400="Pass",1,0)</f>
        <v/>
      </c>
      <c r="AA400" s="50" t="n"/>
      <c r="AB400" s="50" t="n"/>
      <c r="AC400" s="49" t="n"/>
      <c r="AD400" s="50" t="n"/>
      <c r="AE400" s="49" t="n"/>
    </row>
    <row r="401" ht="15.75" customHeight="1" s="40">
      <c r="A401" s="48" t="n"/>
      <c r="B401" s="48" t="n"/>
      <c r="C401" s="47" t="n"/>
      <c r="D401" s="48" t="n"/>
      <c r="E401" s="48" t="n"/>
      <c r="F401" s="48" t="n"/>
      <c r="G401" s="47" t="n"/>
      <c r="H401" s="50" t="n"/>
      <c r="I401" s="50" t="n"/>
      <c r="J401" s="50" t="n"/>
      <c r="K401" s="50" t="n"/>
      <c r="L401" s="49" t="n"/>
      <c r="M401" s="49" t="n"/>
      <c r="N401" s="49" t="n"/>
      <c r="O401" s="49" t="n"/>
      <c r="P401" s="50" t="n"/>
      <c r="Q401" s="49" t="n"/>
      <c r="R401" s="56">
        <f>IF(Q401="","",IFERROR(VLOOKUP(Q401,Lookups!$A$2:$B$8,2,FALSE),""))</f>
        <v/>
      </c>
      <c r="S401" s="53">
        <f>IF(B401="","",B401&amp;"|"&amp;TEXT(C401,"00"))</f>
        <v/>
      </c>
      <c r="T401" s="53">
        <f>IF(B401="","",B401&amp;"|"&amp;TEXT(C401-1,"00"))</f>
        <v/>
      </c>
      <c r="U401" s="53">
        <f>IFERROR(INDEX($Q:$Q,MATCH(T401,$S:$S,0)),"")</f>
        <v/>
      </c>
      <c r="V401" s="56">
        <f>IFERROR(INDEX($R:$R,MATCH(T401,$S:$S,0)),"")</f>
        <v/>
      </c>
      <c r="W401" s="56">
        <f>IF(U401="","",IF(Q401&lt;&gt;U401,1,0))</f>
        <v/>
      </c>
      <c r="X401" s="56">
        <f>IF(V401="","",IF(R401&lt;V401,1,0))</f>
        <v/>
      </c>
      <c r="Y401" s="56">
        <f>IF(V401="","",IF(R401&gt;V401,1,0))</f>
        <v/>
      </c>
      <c r="Z401" s="56">
        <f>IF(Q401="Pass",1,0)</f>
        <v/>
      </c>
      <c r="AA401" s="50" t="n"/>
      <c r="AB401" s="50" t="n"/>
      <c r="AC401" s="49" t="n"/>
      <c r="AD401" s="50" t="n"/>
      <c r="AE401" s="49" t="n"/>
    </row>
    <row r="402" ht="15.75" customHeight="1" s="40">
      <c r="A402" s="48" t="n"/>
      <c r="B402" s="48" t="n"/>
      <c r="C402" s="47" t="n"/>
      <c r="D402" s="48" t="n"/>
      <c r="E402" s="48" t="n"/>
      <c r="F402" s="48" t="n"/>
      <c r="G402" s="47" t="n"/>
      <c r="H402" s="50" t="n"/>
      <c r="I402" s="50" t="n"/>
      <c r="J402" s="50" t="n"/>
      <c r="K402" s="50" t="n"/>
      <c r="L402" s="49" t="n"/>
      <c r="M402" s="49" t="n"/>
      <c r="N402" s="49" t="n"/>
      <c r="O402" s="49" t="n"/>
      <c r="P402" s="50" t="n"/>
      <c r="Q402" s="49" t="n"/>
      <c r="R402" s="56">
        <f>IF(Q402="","",IFERROR(VLOOKUP(Q402,Lookups!$A$2:$B$8,2,FALSE),""))</f>
        <v/>
      </c>
      <c r="S402" s="53">
        <f>IF(B402="","",B402&amp;"|"&amp;TEXT(C402,"00"))</f>
        <v/>
      </c>
      <c r="T402" s="53">
        <f>IF(B402="","",B402&amp;"|"&amp;TEXT(C402-1,"00"))</f>
        <v/>
      </c>
      <c r="U402" s="53">
        <f>IFERROR(INDEX($Q:$Q,MATCH(T402,$S:$S,0)),"")</f>
        <v/>
      </c>
      <c r="V402" s="56">
        <f>IFERROR(INDEX($R:$R,MATCH(T402,$S:$S,0)),"")</f>
        <v/>
      </c>
      <c r="W402" s="56">
        <f>IF(U402="","",IF(Q402&lt;&gt;U402,1,0))</f>
        <v/>
      </c>
      <c r="X402" s="56">
        <f>IF(V402="","",IF(R402&lt;V402,1,0))</f>
        <v/>
      </c>
      <c r="Y402" s="56">
        <f>IF(V402="","",IF(R402&gt;V402,1,0))</f>
        <v/>
      </c>
      <c r="Z402" s="56">
        <f>IF(Q402="Pass",1,0)</f>
        <v/>
      </c>
      <c r="AA402" s="50" t="n"/>
      <c r="AB402" s="50" t="n"/>
      <c r="AC402" s="49" t="n"/>
      <c r="AD402" s="50" t="n"/>
      <c r="AE402" s="49" t="n"/>
    </row>
    <row r="403" ht="15.75" customHeight="1" s="40">
      <c r="A403" s="48" t="n"/>
      <c r="B403" s="48" t="n"/>
      <c r="C403" s="47" t="n"/>
      <c r="D403" s="48" t="n"/>
      <c r="E403" s="48" t="n"/>
      <c r="F403" s="48" t="n"/>
      <c r="G403" s="47" t="n"/>
      <c r="H403" s="50" t="n"/>
      <c r="I403" s="50" t="n"/>
      <c r="J403" s="50" t="n"/>
      <c r="K403" s="50" t="n"/>
      <c r="L403" s="49" t="n"/>
      <c r="M403" s="49" t="n"/>
      <c r="N403" s="49" t="n"/>
      <c r="O403" s="49" t="n"/>
      <c r="P403" s="50" t="n"/>
      <c r="Q403" s="49" t="n"/>
      <c r="R403" s="56">
        <f>IF(Q403="","",IFERROR(VLOOKUP(Q403,Lookups!$A$2:$B$8,2,FALSE),""))</f>
        <v/>
      </c>
      <c r="S403" s="53">
        <f>IF(B403="","",B403&amp;"|"&amp;TEXT(C403,"00"))</f>
        <v/>
      </c>
      <c r="T403" s="53">
        <f>IF(B403="","",B403&amp;"|"&amp;TEXT(C403-1,"00"))</f>
        <v/>
      </c>
      <c r="U403" s="53">
        <f>IFERROR(INDEX($Q:$Q,MATCH(T403,$S:$S,0)),"")</f>
        <v/>
      </c>
      <c r="V403" s="56">
        <f>IFERROR(INDEX($R:$R,MATCH(T403,$S:$S,0)),"")</f>
        <v/>
      </c>
      <c r="W403" s="56">
        <f>IF(U403="","",IF(Q403&lt;&gt;U403,1,0))</f>
        <v/>
      </c>
      <c r="X403" s="56">
        <f>IF(V403="","",IF(R403&lt;V403,1,0))</f>
        <v/>
      </c>
      <c r="Y403" s="56">
        <f>IF(V403="","",IF(R403&gt;V403,1,0))</f>
        <v/>
      </c>
      <c r="Z403" s="56">
        <f>IF(Q403="Pass",1,0)</f>
        <v/>
      </c>
      <c r="AA403" s="50" t="n"/>
      <c r="AB403" s="50" t="n"/>
      <c r="AC403" s="49" t="n"/>
      <c r="AD403" s="50" t="n"/>
      <c r="AE403" s="49" t="n"/>
    </row>
    <row r="404" ht="15.75" customHeight="1" s="40">
      <c r="A404" s="48" t="n"/>
      <c r="B404" s="48" t="n"/>
      <c r="C404" s="47" t="n"/>
      <c r="D404" s="48" t="n"/>
      <c r="E404" s="48" t="n"/>
      <c r="F404" s="48" t="n"/>
      <c r="G404" s="47" t="n"/>
      <c r="H404" s="50" t="n"/>
      <c r="I404" s="50" t="n"/>
      <c r="J404" s="50" t="n"/>
      <c r="K404" s="50" t="n"/>
      <c r="L404" s="49" t="n"/>
      <c r="M404" s="49" t="n"/>
      <c r="N404" s="49" t="n"/>
      <c r="O404" s="49" t="n"/>
      <c r="P404" s="50" t="n"/>
      <c r="Q404" s="49" t="n"/>
      <c r="R404" s="56">
        <f>IF(Q404="","",IFERROR(VLOOKUP(Q404,Lookups!$A$2:$B$8,2,FALSE),""))</f>
        <v/>
      </c>
      <c r="S404" s="53">
        <f>IF(B404="","",B404&amp;"|"&amp;TEXT(C404,"00"))</f>
        <v/>
      </c>
      <c r="T404" s="53">
        <f>IF(B404="","",B404&amp;"|"&amp;TEXT(C404-1,"00"))</f>
        <v/>
      </c>
      <c r="U404" s="53">
        <f>IFERROR(INDEX($Q:$Q,MATCH(T404,$S:$S,0)),"")</f>
        <v/>
      </c>
      <c r="V404" s="56">
        <f>IFERROR(INDEX($R:$R,MATCH(T404,$S:$S,0)),"")</f>
        <v/>
      </c>
      <c r="W404" s="56">
        <f>IF(U404="","",IF(Q404&lt;&gt;U404,1,0))</f>
        <v/>
      </c>
      <c r="X404" s="56">
        <f>IF(V404="","",IF(R404&lt;V404,1,0))</f>
        <v/>
      </c>
      <c r="Y404" s="56">
        <f>IF(V404="","",IF(R404&gt;V404,1,0))</f>
        <v/>
      </c>
      <c r="Z404" s="56">
        <f>IF(Q404="Pass",1,0)</f>
        <v/>
      </c>
      <c r="AA404" s="50" t="n"/>
      <c r="AB404" s="50" t="n"/>
      <c r="AC404" s="49" t="n"/>
      <c r="AD404" s="50" t="n"/>
      <c r="AE404" s="49" t="n"/>
    </row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autoFilter ref="$A$4:$AE$404"/>
  <mergeCells count="2">
    <mergeCell ref="A1:AE1"/>
    <mergeCell ref="A2:AE2"/>
  </mergeCells>
  <conditionalFormatting sqref="A5:AE404">
    <cfRule type="expression" priority="1" dxfId="0">
      <formula>$Q5="Pass"</formula>
    </cfRule>
    <cfRule type="expression" priority="2" dxfId="3">
      <formula>$Q5="WrongResult"</formula>
    </cfRule>
    <cfRule type="expression" priority="3" dxfId="2">
      <formula>OR($Q5="RuntimeError",$Q5="SchemaError",$Q5="SyntaxError",$Q5="Timeout",$Q5="FormatError")</formula>
    </cfRule>
    <cfRule type="expression" priority="4" dxfId="4">
      <formula>$Y5=1</formula>
    </cfRule>
  </conditionalFormatting>
  <conditionalFormatting sqref="R5:R404">
    <cfRule type="colorScale" priority="5">
      <colorScale>
        <cfvo type="formula" val="0"/>
        <cfvo type="formula" val="3"/>
        <cfvo type="formula" val="6"/>
        <color rgb="FFDDF2DE"/>
        <color rgb="FFFFF1BF"/>
        <color rgb="FFFFD7D4"/>
      </colorScale>
    </cfRule>
  </conditionalFormatting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9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24" customWidth="1" style="40" min="1" max="1"/>
    <col width="14" customWidth="1" style="40" min="2" max="2"/>
    <col width="24" customWidth="1" style="40" min="3" max="3"/>
    <col width="12" customWidth="1" style="40" min="4" max="4"/>
    <col width="10" customWidth="1" style="40" min="5" max="6"/>
    <col width="12" customWidth="1" style="40" min="7" max="9"/>
    <col width="16" customWidth="1" style="40" min="10" max="10"/>
    <col width="12" customWidth="1" style="40" min="11" max="15"/>
    <col width="14" customWidth="1" style="40" min="16" max="17"/>
    <col width="16" customWidth="1" style="40" min="18" max="18"/>
    <col width="28" customWidth="1" style="40" min="19" max="19"/>
    <col width="8.710000000000001" customWidth="1" style="40" min="20" max="26"/>
  </cols>
  <sheetData>
    <row r="1" ht="24" customHeight="1" s="40">
      <c r="A1" s="51" t="inlineStr">
        <is>
          <t>Run Summary</t>
        </is>
      </c>
    </row>
    <row r="2">
      <c r="A2" s="53" t="inlineStr">
        <is>
          <t>This sheet rolls up one row per run using the Turn Log and Stability Checks sheets. Rows map directly to the Run Plan.</t>
        </is>
      </c>
      <c r="B2" s="43" t="n"/>
      <c r="C2" s="43" t="n"/>
      <c r="D2" s="43" t="n"/>
      <c r="E2" s="43" t="n"/>
      <c r="F2" s="43" t="n"/>
      <c r="G2" s="43" t="n"/>
      <c r="H2" s="43" t="n"/>
      <c r="I2" s="43" t="n"/>
      <c r="J2" s="43" t="n"/>
      <c r="K2" s="43" t="n"/>
      <c r="L2" s="43" t="n"/>
      <c r="M2" s="43" t="n"/>
      <c r="N2" s="43" t="n"/>
      <c r="O2" s="43" t="n"/>
      <c r="P2" s="43" t="n"/>
      <c r="Q2" s="43" t="n"/>
      <c r="R2" s="43" t="n"/>
      <c r="S2" s="43" t="n"/>
    </row>
    <row r="4" ht="27.75" customHeight="1" s="40">
      <c r="A4" s="46" t="inlineStr">
        <is>
          <t>run_id</t>
        </is>
      </c>
      <c r="B4" s="46" t="inlineStr">
        <is>
          <t>task_id</t>
        </is>
      </c>
      <c r="C4" s="46" t="inlineStr">
        <is>
          <t>model_id</t>
        </is>
      </c>
      <c r="D4" s="46" t="inlineStr">
        <is>
          <t>protocol_id</t>
        </is>
      </c>
      <c r="E4" s="46" t="inlineStr">
        <is>
          <t>replicate</t>
        </is>
      </c>
      <c r="F4" s="46" t="inlineStr">
        <is>
          <t>T_max</t>
        </is>
      </c>
      <c r="G4" s="46" t="inlineStr">
        <is>
          <t>logged_turns</t>
        </is>
      </c>
      <c r="H4" s="46" t="inlineStr">
        <is>
          <t>first_pass_turn</t>
        </is>
      </c>
      <c r="I4" s="46" t="inlineStr">
        <is>
          <t>final_turn</t>
        </is>
      </c>
      <c r="J4" s="46" t="inlineStr">
        <is>
          <t>final_state</t>
        </is>
      </c>
      <c r="K4" s="46" t="inlineStr">
        <is>
          <t>final_severity</t>
        </is>
      </c>
      <c r="L4" s="46" t="inlineStr">
        <is>
          <t>improvements</t>
        </is>
      </c>
      <c r="M4" s="46" t="inlineStr">
        <is>
          <t>regressions</t>
        </is>
      </c>
      <c r="N4" s="46" t="inlineStr">
        <is>
          <t>oscillations</t>
        </is>
      </c>
      <c r="O4" s="46" t="inlineStr">
        <is>
          <t>pass_within_T</t>
        </is>
      </c>
      <c r="P4" s="46" t="inlineStr">
        <is>
          <t>reexec_passes</t>
        </is>
      </c>
      <c r="Q4" s="46" t="inlineStr">
        <is>
          <t>reprompt_passes</t>
        </is>
      </c>
      <c r="R4" s="46" t="inlineStr">
        <is>
          <t>status</t>
        </is>
      </c>
      <c r="S4" s="46" t="inlineStr">
        <is>
          <t>analyst_note</t>
        </is>
      </c>
    </row>
    <row r="5">
      <c r="A5" s="55">
        <f>IF('Run Plan'!A5="","",'Run Plan'!A5)</f>
        <v/>
      </c>
      <c r="B5" s="55">
        <f>IF(A5="","",'Run Plan'!C5)</f>
        <v/>
      </c>
      <c r="C5" s="55">
        <f>IF(A5="","",'Run Plan'!E5)</f>
        <v/>
      </c>
      <c r="D5" s="54">
        <f>IF(A5="","",'Run Plan'!G5)</f>
        <v/>
      </c>
      <c r="E5" s="47">
        <f>IF(A5="","",'Run Plan'!K5)</f>
        <v/>
      </c>
      <c r="F5" s="47">
        <f>IF(A5="","",'Run Plan'!J5)</f>
        <v/>
      </c>
      <c r="G5" s="56">
        <f>IF(A5="","",COUNTIF('Turn Log'!$B$5:$B$5000,A5))</f>
        <v/>
      </c>
      <c r="H5" s="56">
        <f>IF(A5="","",IFERROR(MINIFS('Turn Log'!$C$5:$C$5000,'Turn Log'!$B$5:$B$5000,A5,'Turn Log'!$Q$5:$Q$5000,"Pass"),""))</f>
        <v/>
      </c>
      <c r="I5" s="56">
        <f>IF(A5="","",IFERROR(MAXIFS('Turn Log'!$C$5:$C$5000,'Turn Log'!$B$5:$B$5000,A5),""))</f>
        <v/>
      </c>
      <c r="J5" s="56">
        <f>IF(A5="","",IFERROR(INDEX('Turn Log'!$Q$5:$Q$5000,MATCH(1,('Turn Log'!$B$5:$B$5000=A5)*('Turn Log'!$C$5:$C$5000=I5),0)),""))</f>
        <v/>
      </c>
      <c r="K5" s="56">
        <f>IF(A5="","",IFERROR(INDEX('Turn Log'!$R$5:$R$5000,MATCH(1,('Turn Log'!$B$5:$B$5000=A5)*('Turn Log'!$C$5:$C$5000=I5),0)),""))</f>
        <v/>
      </c>
      <c r="L5" s="56">
        <f>IF(A5="","",COUNTIFS('Turn Log'!$B$5:$B$5000,A5,'Turn Log'!$X$5:$X$5000,1))</f>
        <v/>
      </c>
      <c r="M5" s="56">
        <f>IF(A5="","",COUNTIFS('Turn Log'!$B$5:$B$5000,A5,'Turn Log'!$Y$5:$Y$5000,1))</f>
        <v/>
      </c>
      <c r="N5" s="56">
        <f>IF(A5="","",COUNTIFS('Turn Log'!$B$5:$B$5000,A5,'Turn Log'!$W$5:$W$5000,1))</f>
        <v/>
      </c>
      <c r="O5" s="56">
        <f>IF(H5="","No","Yes")</f>
        <v/>
      </c>
      <c r="P5" s="56">
        <f>IF(A5="","",COUNTIFS('Stability Checks'!$A$5:$A$2000,A5,'Stability Checks'!$C$5:$C$2000,"Re-execution",'Stability Checks'!$E$5:$E$2000,"Pass"))</f>
        <v/>
      </c>
      <c r="Q5" s="56">
        <f>IF(A5="","",COUNTIFS('Stability Checks'!$A$5:$A$2000,A5,'Stability Checks'!$C$5:$C$2000,"Re-prompt",'Stability Checks'!$E$5:$E$2000,"Pass"))</f>
        <v/>
      </c>
      <c r="R5" s="47">
        <f>IF(A5="","",'Run Plan'!Q5)</f>
        <v/>
      </c>
      <c r="S5" s="50" t="n"/>
    </row>
    <row r="6">
      <c r="A6" s="55">
        <f>IF('Run Plan'!A6="","",'Run Plan'!A6)</f>
        <v/>
      </c>
      <c r="B6" s="55">
        <f>IF(A6="","",'Run Plan'!C6)</f>
        <v/>
      </c>
      <c r="C6" s="55">
        <f>IF(A6="","",'Run Plan'!E6)</f>
        <v/>
      </c>
      <c r="D6" s="54">
        <f>IF(A6="","",'Run Plan'!G6)</f>
        <v/>
      </c>
      <c r="E6" s="47">
        <f>IF(A6="","",'Run Plan'!K6)</f>
        <v/>
      </c>
      <c r="F6" s="47">
        <f>IF(A6="","",'Run Plan'!J6)</f>
        <v/>
      </c>
      <c r="G6" s="56">
        <f>IF(A6="","",COUNTIF('Turn Log'!$B$5:$B$5000,A6))</f>
        <v/>
      </c>
      <c r="H6" s="56">
        <f>IF(A6="","",IFERROR(MINIFS('Turn Log'!$C$5:$C$5000,'Turn Log'!$B$5:$B$5000,A6,'Turn Log'!$Q$5:$Q$5000,"Pass"),""))</f>
        <v/>
      </c>
      <c r="I6" s="56">
        <f>IF(A6="","",IFERROR(MAXIFS('Turn Log'!$C$5:$C$5000,'Turn Log'!$B$5:$B$5000,A6),""))</f>
        <v/>
      </c>
      <c r="J6" s="56">
        <f>IF(A6="","",IFERROR(INDEX('Turn Log'!$Q$5:$Q$5000,MATCH(1,('Turn Log'!$B$5:$B$5000=A6)*('Turn Log'!$C$5:$C$5000=I6),0)),""))</f>
        <v/>
      </c>
      <c r="K6" s="56">
        <f>IF(A6="","",IFERROR(INDEX('Turn Log'!$R$5:$R$5000,MATCH(1,('Turn Log'!$B$5:$B$5000=A6)*('Turn Log'!$C$5:$C$5000=I6),0)),""))</f>
        <v/>
      </c>
      <c r="L6" s="56">
        <f>IF(A6="","",COUNTIFS('Turn Log'!$B$5:$B$5000,A6,'Turn Log'!$X$5:$X$5000,1))</f>
        <v/>
      </c>
      <c r="M6" s="56">
        <f>IF(A6="","",COUNTIFS('Turn Log'!$B$5:$B$5000,A6,'Turn Log'!$Y$5:$Y$5000,1))</f>
        <v/>
      </c>
      <c r="N6" s="56">
        <f>IF(A6="","",COUNTIFS('Turn Log'!$B$5:$B$5000,A6,'Turn Log'!$W$5:$W$5000,1))</f>
        <v/>
      </c>
      <c r="O6" s="56">
        <f>IF(H6="","No","Yes")</f>
        <v/>
      </c>
      <c r="P6" s="56">
        <f>IF(A6="","",COUNTIFS('Stability Checks'!$A$5:$A$2000,A6,'Stability Checks'!$C$5:$C$2000,"Re-execution",'Stability Checks'!$E$5:$E$2000,"Pass"))</f>
        <v/>
      </c>
      <c r="Q6" s="56">
        <f>IF(A6="","",COUNTIFS('Stability Checks'!$A$5:$A$2000,A6,'Stability Checks'!$C$5:$C$2000,"Re-prompt",'Stability Checks'!$E$5:$E$2000,"Pass"))</f>
        <v/>
      </c>
      <c r="R6" s="47">
        <f>IF(A6="","",'Run Plan'!Q6)</f>
        <v/>
      </c>
      <c r="S6" s="50" t="n"/>
    </row>
    <row r="7">
      <c r="A7" s="55">
        <f>IF('Run Plan'!A7="","",'Run Plan'!A7)</f>
        <v/>
      </c>
      <c r="B7" s="55">
        <f>IF(A7="","",'Run Plan'!C7)</f>
        <v/>
      </c>
      <c r="C7" s="55">
        <f>IF(A7="","",'Run Plan'!E7)</f>
        <v/>
      </c>
      <c r="D7" s="54">
        <f>IF(A7="","",'Run Plan'!G7)</f>
        <v/>
      </c>
      <c r="E7" s="47">
        <f>IF(A7="","",'Run Plan'!K7)</f>
        <v/>
      </c>
      <c r="F7" s="47">
        <f>IF(A7="","",'Run Plan'!J7)</f>
        <v/>
      </c>
      <c r="G7" s="56">
        <f>IF(A7="","",COUNTIF('Turn Log'!$B$5:$B$5000,A7))</f>
        <v/>
      </c>
      <c r="H7" s="56">
        <f>IF(A7="","",IFERROR(MINIFS('Turn Log'!$C$5:$C$5000,'Turn Log'!$B$5:$B$5000,A7,'Turn Log'!$Q$5:$Q$5000,"Pass"),""))</f>
        <v/>
      </c>
      <c r="I7" s="56">
        <f>IF(A7="","",IFERROR(MAXIFS('Turn Log'!$C$5:$C$5000,'Turn Log'!$B$5:$B$5000,A7),""))</f>
        <v/>
      </c>
      <c r="J7" s="56">
        <f>IF(A7="","",IFERROR(INDEX('Turn Log'!$Q$5:$Q$5000,MATCH(1,('Turn Log'!$B$5:$B$5000=A7)*('Turn Log'!$C$5:$C$5000=I7),0)),""))</f>
        <v/>
      </c>
      <c r="K7" s="56">
        <f>IF(A7="","",IFERROR(INDEX('Turn Log'!$R$5:$R$5000,MATCH(1,('Turn Log'!$B$5:$B$5000=A7)*('Turn Log'!$C$5:$C$5000=I7),0)),""))</f>
        <v/>
      </c>
      <c r="L7" s="56">
        <f>IF(A7="","",COUNTIFS('Turn Log'!$B$5:$B$5000,A7,'Turn Log'!$X$5:$X$5000,1))</f>
        <v/>
      </c>
      <c r="M7" s="56">
        <f>IF(A7="","",COUNTIFS('Turn Log'!$B$5:$B$5000,A7,'Turn Log'!$Y$5:$Y$5000,1))</f>
        <v/>
      </c>
      <c r="N7" s="56">
        <f>IF(A7="","",COUNTIFS('Turn Log'!$B$5:$B$5000,A7,'Turn Log'!$W$5:$W$5000,1))</f>
        <v/>
      </c>
      <c r="O7" s="56">
        <f>IF(H7="","No","Yes")</f>
        <v/>
      </c>
      <c r="P7" s="56">
        <f>IF(A7="","",COUNTIFS('Stability Checks'!$A$5:$A$2000,A7,'Stability Checks'!$C$5:$C$2000,"Re-execution",'Stability Checks'!$E$5:$E$2000,"Pass"))</f>
        <v/>
      </c>
      <c r="Q7" s="56">
        <f>IF(A7="","",COUNTIFS('Stability Checks'!$A$5:$A$2000,A7,'Stability Checks'!$C$5:$C$2000,"Re-prompt",'Stability Checks'!$E$5:$E$2000,"Pass"))</f>
        <v/>
      </c>
      <c r="R7" s="47">
        <f>IF(A7="","",'Run Plan'!Q7)</f>
        <v/>
      </c>
      <c r="S7" s="50" t="n"/>
    </row>
    <row r="8">
      <c r="A8" s="55">
        <f>IF('Run Plan'!A8="","",'Run Plan'!A8)</f>
        <v/>
      </c>
      <c r="B8" s="55">
        <f>IF(A8="","",'Run Plan'!C8)</f>
        <v/>
      </c>
      <c r="C8" s="55">
        <f>IF(A8="","",'Run Plan'!E8)</f>
        <v/>
      </c>
      <c r="D8" s="54">
        <f>IF(A8="","",'Run Plan'!G8)</f>
        <v/>
      </c>
      <c r="E8" s="47">
        <f>IF(A8="","",'Run Plan'!K8)</f>
        <v/>
      </c>
      <c r="F8" s="47">
        <f>IF(A8="","",'Run Plan'!J8)</f>
        <v/>
      </c>
      <c r="G8" s="56">
        <f>IF(A8="","",COUNTIF('Turn Log'!$B$5:$B$5000,A8))</f>
        <v/>
      </c>
      <c r="H8" s="56">
        <f>IF(A8="","",IFERROR(MINIFS('Turn Log'!$C$5:$C$5000,'Turn Log'!$B$5:$B$5000,A8,'Turn Log'!$Q$5:$Q$5000,"Pass"),""))</f>
        <v/>
      </c>
      <c r="I8" s="56">
        <f>IF(A8="","",IFERROR(MAXIFS('Turn Log'!$C$5:$C$5000,'Turn Log'!$B$5:$B$5000,A8),""))</f>
        <v/>
      </c>
      <c r="J8" s="56">
        <f>IF(A8="","",IFERROR(INDEX('Turn Log'!$Q$5:$Q$5000,MATCH(1,('Turn Log'!$B$5:$B$5000=A8)*('Turn Log'!$C$5:$C$5000=I8),0)),""))</f>
        <v/>
      </c>
      <c r="K8" s="56">
        <f>IF(A8="","",IFERROR(INDEX('Turn Log'!$R$5:$R$5000,MATCH(1,('Turn Log'!$B$5:$B$5000=A8)*('Turn Log'!$C$5:$C$5000=I8),0)),""))</f>
        <v/>
      </c>
      <c r="L8" s="56">
        <f>IF(A8="","",COUNTIFS('Turn Log'!$B$5:$B$5000,A8,'Turn Log'!$X$5:$X$5000,1))</f>
        <v/>
      </c>
      <c r="M8" s="56">
        <f>IF(A8="","",COUNTIFS('Turn Log'!$B$5:$B$5000,A8,'Turn Log'!$Y$5:$Y$5000,1))</f>
        <v/>
      </c>
      <c r="N8" s="56">
        <f>IF(A8="","",COUNTIFS('Turn Log'!$B$5:$B$5000,A8,'Turn Log'!$W$5:$W$5000,1))</f>
        <v/>
      </c>
      <c r="O8" s="56">
        <f>IF(H8="","No","Yes")</f>
        <v/>
      </c>
      <c r="P8" s="56">
        <f>IF(A8="","",COUNTIFS('Stability Checks'!$A$5:$A$2000,A8,'Stability Checks'!$C$5:$C$2000,"Re-execution",'Stability Checks'!$E$5:$E$2000,"Pass"))</f>
        <v/>
      </c>
      <c r="Q8" s="56">
        <f>IF(A8="","",COUNTIFS('Stability Checks'!$A$5:$A$2000,A8,'Stability Checks'!$C$5:$C$2000,"Re-prompt",'Stability Checks'!$E$5:$E$2000,"Pass"))</f>
        <v/>
      </c>
      <c r="R8" s="47">
        <f>IF(A8="","",'Run Plan'!Q8)</f>
        <v/>
      </c>
      <c r="S8" s="50" t="n"/>
    </row>
    <row r="9">
      <c r="A9" s="55">
        <f>IF('Run Plan'!A9="","",'Run Plan'!A9)</f>
        <v/>
      </c>
      <c r="B9" s="55">
        <f>IF(A9="","",'Run Plan'!C9)</f>
        <v/>
      </c>
      <c r="C9" s="55">
        <f>IF(A9="","",'Run Plan'!E9)</f>
        <v/>
      </c>
      <c r="D9" s="54">
        <f>IF(A9="","",'Run Plan'!G9)</f>
        <v/>
      </c>
      <c r="E9" s="47">
        <f>IF(A9="","",'Run Plan'!K9)</f>
        <v/>
      </c>
      <c r="F9" s="47">
        <f>IF(A9="","",'Run Plan'!J9)</f>
        <v/>
      </c>
      <c r="G9" s="56">
        <f>IF(A9="","",COUNTIF('Turn Log'!$B$5:$B$5000,A9))</f>
        <v/>
      </c>
      <c r="H9" s="56">
        <f>IF(A9="","",IFERROR(MINIFS('Turn Log'!$C$5:$C$5000,'Turn Log'!$B$5:$B$5000,A9,'Turn Log'!$Q$5:$Q$5000,"Pass"),""))</f>
        <v/>
      </c>
      <c r="I9" s="56">
        <f>IF(A9="","",IFERROR(MAXIFS('Turn Log'!$C$5:$C$5000,'Turn Log'!$B$5:$B$5000,A9),""))</f>
        <v/>
      </c>
      <c r="J9" s="56">
        <f>IF(A9="","",IFERROR(INDEX('Turn Log'!$Q$5:$Q$5000,MATCH(1,('Turn Log'!$B$5:$B$5000=A9)*('Turn Log'!$C$5:$C$5000=I9),0)),""))</f>
        <v/>
      </c>
      <c r="K9" s="56">
        <f>IF(A9="","",IFERROR(INDEX('Turn Log'!$R$5:$R$5000,MATCH(1,('Turn Log'!$B$5:$B$5000=A9)*('Turn Log'!$C$5:$C$5000=I9),0)),""))</f>
        <v/>
      </c>
      <c r="L9" s="56">
        <f>IF(A9="","",COUNTIFS('Turn Log'!$B$5:$B$5000,A9,'Turn Log'!$X$5:$X$5000,1))</f>
        <v/>
      </c>
      <c r="M9" s="56">
        <f>IF(A9="","",COUNTIFS('Turn Log'!$B$5:$B$5000,A9,'Turn Log'!$Y$5:$Y$5000,1))</f>
        <v/>
      </c>
      <c r="N9" s="56">
        <f>IF(A9="","",COUNTIFS('Turn Log'!$B$5:$B$5000,A9,'Turn Log'!$W$5:$W$5000,1))</f>
        <v/>
      </c>
      <c r="O9" s="56">
        <f>IF(H9="","No","Yes")</f>
        <v/>
      </c>
      <c r="P9" s="56">
        <f>IF(A9="","",COUNTIFS('Stability Checks'!$A$5:$A$2000,A9,'Stability Checks'!$C$5:$C$2000,"Re-execution",'Stability Checks'!$E$5:$E$2000,"Pass"))</f>
        <v/>
      </c>
      <c r="Q9" s="56">
        <f>IF(A9="","",COUNTIFS('Stability Checks'!$A$5:$A$2000,A9,'Stability Checks'!$C$5:$C$2000,"Re-prompt",'Stability Checks'!$E$5:$E$2000,"Pass"))</f>
        <v/>
      </c>
      <c r="R9" s="47">
        <f>IF(A9="","",'Run Plan'!Q9)</f>
        <v/>
      </c>
      <c r="S9" s="50" t="n"/>
    </row>
    <row r="10">
      <c r="A10" s="55">
        <f>IF('Run Plan'!A10="","",'Run Plan'!A10)</f>
        <v/>
      </c>
      <c r="B10" s="55">
        <f>IF(A10="","",'Run Plan'!C10)</f>
        <v/>
      </c>
      <c r="C10" s="55">
        <f>IF(A10="","",'Run Plan'!E10)</f>
        <v/>
      </c>
      <c r="D10" s="54">
        <f>IF(A10="","",'Run Plan'!G10)</f>
        <v/>
      </c>
      <c r="E10" s="47">
        <f>IF(A10="","",'Run Plan'!K10)</f>
        <v/>
      </c>
      <c r="F10" s="47">
        <f>IF(A10="","",'Run Plan'!J10)</f>
        <v/>
      </c>
      <c r="G10" s="56">
        <f>IF(A10="","",COUNTIF('Turn Log'!$B$5:$B$5000,A10))</f>
        <v/>
      </c>
      <c r="H10" s="56">
        <f>IF(A10="","",IFERROR(MINIFS('Turn Log'!$C$5:$C$5000,'Turn Log'!$B$5:$B$5000,A10,'Turn Log'!$Q$5:$Q$5000,"Pass"),""))</f>
        <v/>
      </c>
      <c r="I10" s="56">
        <f>IF(A10="","",IFERROR(MAXIFS('Turn Log'!$C$5:$C$5000,'Turn Log'!$B$5:$B$5000,A10),""))</f>
        <v/>
      </c>
      <c r="J10" s="56">
        <f>IF(A10="","",IFERROR(INDEX('Turn Log'!$Q$5:$Q$5000,MATCH(1,('Turn Log'!$B$5:$B$5000=A10)*('Turn Log'!$C$5:$C$5000=I10),0)),""))</f>
        <v/>
      </c>
      <c r="K10" s="56">
        <f>IF(A10="","",IFERROR(INDEX('Turn Log'!$R$5:$R$5000,MATCH(1,('Turn Log'!$B$5:$B$5000=A10)*('Turn Log'!$C$5:$C$5000=I10),0)),""))</f>
        <v/>
      </c>
      <c r="L10" s="56">
        <f>IF(A10="","",COUNTIFS('Turn Log'!$B$5:$B$5000,A10,'Turn Log'!$X$5:$X$5000,1))</f>
        <v/>
      </c>
      <c r="M10" s="56">
        <f>IF(A10="","",COUNTIFS('Turn Log'!$B$5:$B$5000,A10,'Turn Log'!$Y$5:$Y$5000,1))</f>
        <v/>
      </c>
      <c r="N10" s="56">
        <f>IF(A10="","",COUNTIFS('Turn Log'!$B$5:$B$5000,A10,'Turn Log'!$W$5:$W$5000,1))</f>
        <v/>
      </c>
      <c r="O10" s="56">
        <f>IF(H10="","No","Yes")</f>
        <v/>
      </c>
      <c r="P10" s="56">
        <f>IF(A10="","",COUNTIFS('Stability Checks'!$A$5:$A$2000,A10,'Stability Checks'!$C$5:$C$2000,"Re-execution",'Stability Checks'!$E$5:$E$2000,"Pass"))</f>
        <v/>
      </c>
      <c r="Q10" s="56">
        <f>IF(A10="","",COUNTIFS('Stability Checks'!$A$5:$A$2000,A10,'Stability Checks'!$C$5:$C$2000,"Re-prompt",'Stability Checks'!$E$5:$E$2000,"Pass"))</f>
        <v/>
      </c>
      <c r="R10" s="47">
        <f>IF(A10="","",'Run Plan'!Q10)</f>
        <v/>
      </c>
      <c r="S10" s="50" t="n"/>
    </row>
    <row r="11">
      <c r="A11" s="55">
        <f>IF('Run Plan'!A11="","",'Run Plan'!A11)</f>
        <v/>
      </c>
      <c r="B11" s="55">
        <f>IF(A11="","",'Run Plan'!C11)</f>
        <v/>
      </c>
      <c r="C11" s="55">
        <f>IF(A11="","",'Run Plan'!E11)</f>
        <v/>
      </c>
      <c r="D11" s="54">
        <f>IF(A11="","",'Run Plan'!G11)</f>
        <v/>
      </c>
      <c r="E11" s="47">
        <f>IF(A11="","",'Run Plan'!K11)</f>
        <v/>
      </c>
      <c r="F11" s="47">
        <f>IF(A11="","",'Run Plan'!J11)</f>
        <v/>
      </c>
      <c r="G11" s="56">
        <f>IF(A11="","",COUNTIF('Turn Log'!$B$5:$B$5000,A11))</f>
        <v/>
      </c>
      <c r="H11" s="56">
        <f>IF(A11="","",IFERROR(MINIFS('Turn Log'!$C$5:$C$5000,'Turn Log'!$B$5:$B$5000,A11,'Turn Log'!$Q$5:$Q$5000,"Pass"),""))</f>
        <v/>
      </c>
      <c r="I11" s="56">
        <f>IF(A11="","",IFERROR(MAXIFS('Turn Log'!$C$5:$C$5000,'Turn Log'!$B$5:$B$5000,A11),""))</f>
        <v/>
      </c>
      <c r="J11" s="56">
        <f>IF(A11="","",IFERROR(INDEX('Turn Log'!$Q$5:$Q$5000,MATCH(1,('Turn Log'!$B$5:$B$5000=A11)*('Turn Log'!$C$5:$C$5000=I11),0)),""))</f>
        <v/>
      </c>
      <c r="K11" s="56">
        <f>IF(A11="","",IFERROR(INDEX('Turn Log'!$R$5:$R$5000,MATCH(1,('Turn Log'!$B$5:$B$5000=A11)*('Turn Log'!$C$5:$C$5000=I11),0)),""))</f>
        <v/>
      </c>
      <c r="L11" s="56">
        <f>IF(A11="","",COUNTIFS('Turn Log'!$B$5:$B$5000,A11,'Turn Log'!$X$5:$X$5000,1))</f>
        <v/>
      </c>
      <c r="M11" s="56">
        <f>IF(A11="","",COUNTIFS('Turn Log'!$B$5:$B$5000,A11,'Turn Log'!$Y$5:$Y$5000,1))</f>
        <v/>
      </c>
      <c r="N11" s="56">
        <f>IF(A11="","",COUNTIFS('Turn Log'!$B$5:$B$5000,A11,'Turn Log'!$W$5:$W$5000,1))</f>
        <v/>
      </c>
      <c r="O11" s="56">
        <f>IF(H11="","No","Yes")</f>
        <v/>
      </c>
      <c r="P11" s="56">
        <f>IF(A11="","",COUNTIFS('Stability Checks'!$A$5:$A$2000,A11,'Stability Checks'!$C$5:$C$2000,"Re-execution",'Stability Checks'!$E$5:$E$2000,"Pass"))</f>
        <v/>
      </c>
      <c r="Q11" s="56">
        <f>IF(A11="","",COUNTIFS('Stability Checks'!$A$5:$A$2000,A11,'Stability Checks'!$C$5:$C$2000,"Re-prompt",'Stability Checks'!$E$5:$E$2000,"Pass"))</f>
        <v/>
      </c>
      <c r="R11" s="47">
        <f>IF(A11="","",'Run Plan'!Q11)</f>
        <v/>
      </c>
      <c r="S11" s="50" t="n"/>
    </row>
    <row r="12">
      <c r="A12" s="55">
        <f>IF('Run Plan'!A12="","",'Run Plan'!A12)</f>
        <v/>
      </c>
      <c r="B12" s="55">
        <f>IF(A12="","",'Run Plan'!C12)</f>
        <v/>
      </c>
      <c r="C12" s="55">
        <f>IF(A12="","",'Run Plan'!E12)</f>
        <v/>
      </c>
      <c r="D12" s="54">
        <f>IF(A12="","",'Run Plan'!G12)</f>
        <v/>
      </c>
      <c r="E12" s="47">
        <f>IF(A12="","",'Run Plan'!K12)</f>
        <v/>
      </c>
      <c r="F12" s="47">
        <f>IF(A12="","",'Run Plan'!J12)</f>
        <v/>
      </c>
      <c r="G12" s="56">
        <f>IF(A12="","",COUNTIF('Turn Log'!$B$5:$B$5000,A12))</f>
        <v/>
      </c>
      <c r="H12" s="56">
        <f>IF(A12="","",IFERROR(MINIFS('Turn Log'!$C$5:$C$5000,'Turn Log'!$B$5:$B$5000,A12,'Turn Log'!$Q$5:$Q$5000,"Pass"),""))</f>
        <v/>
      </c>
      <c r="I12" s="56">
        <f>IF(A12="","",IFERROR(MAXIFS('Turn Log'!$C$5:$C$5000,'Turn Log'!$B$5:$B$5000,A12),""))</f>
        <v/>
      </c>
      <c r="J12" s="56">
        <f>IF(A12="","",IFERROR(INDEX('Turn Log'!$Q$5:$Q$5000,MATCH(1,('Turn Log'!$B$5:$B$5000=A12)*('Turn Log'!$C$5:$C$5000=I12),0)),""))</f>
        <v/>
      </c>
      <c r="K12" s="56">
        <f>IF(A12="","",IFERROR(INDEX('Turn Log'!$R$5:$R$5000,MATCH(1,('Turn Log'!$B$5:$B$5000=A12)*('Turn Log'!$C$5:$C$5000=I12),0)),""))</f>
        <v/>
      </c>
      <c r="L12" s="56">
        <f>IF(A12="","",COUNTIFS('Turn Log'!$B$5:$B$5000,A12,'Turn Log'!$X$5:$X$5000,1))</f>
        <v/>
      </c>
      <c r="M12" s="56">
        <f>IF(A12="","",COUNTIFS('Turn Log'!$B$5:$B$5000,A12,'Turn Log'!$Y$5:$Y$5000,1))</f>
        <v/>
      </c>
      <c r="N12" s="56">
        <f>IF(A12="","",COUNTIFS('Turn Log'!$B$5:$B$5000,A12,'Turn Log'!$W$5:$W$5000,1))</f>
        <v/>
      </c>
      <c r="O12" s="56">
        <f>IF(H12="","No","Yes")</f>
        <v/>
      </c>
      <c r="P12" s="56">
        <f>IF(A12="","",COUNTIFS('Stability Checks'!$A$5:$A$2000,A12,'Stability Checks'!$C$5:$C$2000,"Re-execution",'Stability Checks'!$E$5:$E$2000,"Pass"))</f>
        <v/>
      </c>
      <c r="Q12" s="56">
        <f>IF(A12="","",COUNTIFS('Stability Checks'!$A$5:$A$2000,A12,'Stability Checks'!$C$5:$C$2000,"Re-prompt",'Stability Checks'!$E$5:$E$2000,"Pass"))</f>
        <v/>
      </c>
      <c r="R12" s="47">
        <f>IF(A12="","",'Run Plan'!Q12)</f>
        <v/>
      </c>
      <c r="S12" s="50" t="n"/>
    </row>
    <row r="13">
      <c r="A13" s="55">
        <f>IF('Run Plan'!A13="","",'Run Plan'!A13)</f>
        <v/>
      </c>
      <c r="B13" s="55">
        <f>IF(A13="","",'Run Plan'!C13)</f>
        <v/>
      </c>
      <c r="C13" s="55">
        <f>IF(A13="","",'Run Plan'!E13)</f>
        <v/>
      </c>
      <c r="D13" s="54">
        <f>IF(A13="","",'Run Plan'!G13)</f>
        <v/>
      </c>
      <c r="E13" s="47">
        <f>IF(A13="","",'Run Plan'!K13)</f>
        <v/>
      </c>
      <c r="F13" s="47">
        <f>IF(A13="","",'Run Plan'!J13)</f>
        <v/>
      </c>
      <c r="G13" s="56">
        <f>IF(A13="","",COUNTIF('Turn Log'!$B$5:$B$5000,A13))</f>
        <v/>
      </c>
      <c r="H13" s="56">
        <f>IF(A13="","",IFERROR(MINIFS('Turn Log'!$C$5:$C$5000,'Turn Log'!$B$5:$B$5000,A13,'Turn Log'!$Q$5:$Q$5000,"Pass"),""))</f>
        <v/>
      </c>
      <c r="I13" s="56">
        <f>IF(A13="","",IFERROR(MAXIFS('Turn Log'!$C$5:$C$5000,'Turn Log'!$B$5:$B$5000,A13),""))</f>
        <v/>
      </c>
      <c r="J13" s="56">
        <f>IF(A13="","",IFERROR(INDEX('Turn Log'!$Q$5:$Q$5000,MATCH(1,('Turn Log'!$B$5:$B$5000=A13)*('Turn Log'!$C$5:$C$5000=I13),0)),""))</f>
        <v/>
      </c>
      <c r="K13" s="56">
        <f>IF(A13="","",IFERROR(INDEX('Turn Log'!$R$5:$R$5000,MATCH(1,('Turn Log'!$B$5:$B$5000=A13)*('Turn Log'!$C$5:$C$5000=I13),0)),""))</f>
        <v/>
      </c>
      <c r="L13" s="56">
        <f>IF(A13="","",COUNTIFS('Turn Log'!$B$5:$B$5000,A13,'Turn Log'!$X$5:$X$5000,1))</f>
        <v/>
      </c>
      <c r="M13" s="56">
        <f>IF(A13="","",COUNTIFS('Turn Log'!$B$5:$B$5000,A13,'Turn Log'!$Y$5:$Y$5000,1))</f>
        <v/>
      </c>
      <c r="N13" s="56">
        <f>IF(A13="","",COUNTIFS('Turn Log'!$B$5:$B$5000,A13,'Turn Log'!$W$5:$W$5000,1))</f>
        <v/>
      </c>
      <c r="O13" s="56">
        <f>IF(H13="","No","Yes")</f>
        <v/>
      </c>
      <c r="P13" s="56">
        <f>IF(A13="","",COUNTIFS('Stability Checks'!$A$5:$A$2000,A13,'Stability Checks'!$C$5:$C$2000,"Re-execution",'Stability Checks'!$E$5:$E$2000,"Pass"))</f>
        <v/>
      </c>
      <c r="Q13" s="56">
        <f>IF(A13="","",COUNTIFS('Stability Checks'!$A$5:$A$2000,A13,'Stability Checks'!$C$5:$C$2000,"Re-prompt",'Stability Checks'!$E$5:$E$2000,"Pass"))</f>
        <v/>
      </c>
      <c r="R13" s="47">
        <f>IF(A13="","",'Run Plan'!Q13)</f>
        <v/>
      </c>
      <c r="S13" s="50" t="n"/>
    </row>
    <row r="14">
      <c r="A14" s="55">
        <f>IF('Run Plan'!A14="","",'Run Plan'!A14)</f>
        <v/>
      </c>
      <c r="B14" s="55">
        <f>IF(A14="","",'Run Plan'!C14)</f>
        <v/>
      </c>
      <c r="C14" s="55">
        <f>IF(A14="","",'Run Plan'!E14)</f>
        <v/>
      </c>
      <c r="D14" s="54">
        <f>IF(A14="","",'Run Plan'!G14)</f>
        <v/>
      </c>
      <c r="E14" s="47">
        <f>IF(A14="","",'Run Plan'!K14)</f>
        <v/>
      </c>
      <c r="F14" s="47">
        <f>IF(A14="","",'Run Plan'!J14)</f>
        <v/>
      </c>
      <c r="G14" s="56">
        <f>IF(A14="","",COUNTIF('Turn Log'!$B$5:$B$5000,A14))</f>
        <v/>
      </c>
      <c r="H14" s="56">
        <f>IF(A14="","",IFERROR(MINIFS('Turn Log'!$C$5:$C$5000,'Turn Log'!$B$5:$B$5000,A14,'Turn Log'!$Q$5:$Q$5000,"Pass"),""))</f>
        <v/>
      </c>
      <c r="I14" s="56">
        <f>IF(A14="","",IFERROR(MAXIFS('Turn Log'!$C$5:$C$5000,'Turn Log'!$B$5:$B$5000,A14),""))</f>
        <v/>
      </c>
      <c r="J14" s="56">
        <f>IF(A14="","",IFERROR(INDEX('Turn Log'!$Q$5:$Q$5000,MATCH(1,('Turn Log'!$B$5:$B$5000=A14)*('Turn Log'!$C$5:$C$5000=I14),0)),""))</f>
        <v/>
      </c>
      <c r="K14" s="56">
        <f>IF(A14="","",IFERROR(INDEX('Turn Log'!$R$5:$R$5000,MATCH(1,('Turn Log'!$B$5:$B$5000=A14)*('Turn Log'!$C$5:$C$5000=I14),0)),""))</f>
        <v/>
      </c>
      <c r="L14" s="56">
        <f>IF(A14="","",COUNTIFS('Turn Log'!$B$5:$B$5000,A14,'Turn Log'!$X$5:$X$5000,1))</f>
        <v/>
      </c>
      <c r="M14" s="56">
        <f>IF(A14="","",COUNTIFS('Turn Log'!$B$5:$B$5000,A14,'Turn Log'!$Y$5:$Y$5000,1))</f>
        <v/>
      </c>
      <c r="N14" s="56">
        <f>IF(A14="","",COUNTIFS('Turn Log'!$B$5:$B$5000,A14,'Turn Log'!$W$5:$W$5000,1))</f>
        <v/>
      </c>
      <c r="O14" s="56">
        <f>IF(H14="","No","Yes")</f>
        <v/>
      </c>
      <c r="P14" s="56">
        <f>IF(A14="","",COUNTIFS('Stability Checks'!$A$5:$A$2000,A14,'Stability Checks'!$C$5:$C$2000,"Re-execution",'Stability Checks'!$E$5:$E$2000,"Pass"))</f>
        <v/>
      </c>
      <c r="Q14" s="56">
        <f>IF(A14="","",COUNTIFS('Stability Checks'!$A$5:$A$2000,A14,'Stability Checks'!$C$5:$C$2000,"Re-prompt",'Stability Checks'!$E$5:$E$2000,"Pass"))</f>
        <v/>
      </c>
      <c r="R14" s="47">
        <f>IF(A14="","",'Run Plan'!Q14)</f>
        <v/>
      </c>
      <c r="S14" s="50" t="n"/>
    </row>
    <row r="15">
      <c r="A15" s="55">
        <f>IF('Run Plan'!A15="","",'Run Plan'!A15)</f>
        <v/>
      </c>
      <c r="B15" s="55">
        <f>IF(A15="","",'Run Plan'!C15)</f>
        <v/>
      </c>
      <c r="C15" s="55">
        <f>IF(A15="","",'Run Plan'!E15)</f>
        <v/>
      </c>
      <c r="D15" s="54">
        <f>IF(A15="","",'Run Plan'!G15)</f>
        <v/>
      </c>
      <c r="E15" s="47">
        <f>IF(A15="","",'Run Plan'!K15)</f>
        <v/>
      </c>
      <c r="F15" s="47">
        <f>IF(A15="","",'Run Plan'!J15)</f>
        <v/>
      </c>
      <c r="G15" s="56">
        <f>IF(A15="","",COUNTIF('Turn Log'!$B$5:$B$5000,A15))</f>
        <v/>
      </c>
      <c r="H15" s="56">
        <f>IF(A15="","",IFERROR(MINIFS('Turn Log'!$C$5:$C$5000,'Turn Log'!$B$5:$B$5000,A15,'Turn Log'!$Q$5:$Q$5000,"Pass"),""))</f>
        <v/>
      </c>
      <c r="I15" s="56">
        <f>IF(A15="","",IFERROR(MAXIFS('Turn Log'!$C$5:$C$5000,'Turn Log'!$B$5:$B$5000,A15),""))</f>
        <v/>
      </c>
      <c r="J15" s="56">
        <f>IF(A15="","",IFERROR(INDEX('Turn Log'!$Q$5:$Q$5000,MATCH(1,('Turn Log'!$B$5:$B$5000=A15)*('Turn Log'!$C$5:$C$5000=I15),0)),""))</f>
        <v/>
      </c>
      <c r="K15" s="56">
        <f>IF(A15="","",IFERROR(INDEX('Turn Log'!$R$5:$R$5000,MATCH(1,('Turn Log'!$B$5:$B$5000=A15)*('Turn Log'!$C$5:$C$5000=I15),0)),""))</f>
        <v/>
      </c>
      <c r="L15" s="56">
        <f>IF(A15="","",COUNTIFS('Turn Log'!$B$5:$B$5000,A15,'Turn Log'!$X$5:$X$5000,1))</f>
        <v/>
      </c>
      <c r="M15" s="56">
        <f>IF(A15="","",COUNTIFS('Turn Log'!$B$5:$B$5000,A15,'Turn Log'!$Y$5:$Y$5000,1))</f>
        <v/>
      </c>
      <c r="N15" s="56">
        <f>IF(A15="","",COUNTIFS('Turn Log'!$B$5:$B$5000,A15,'Turn Log'!$W$5:$W$5000,1))</f>
        <v/>
      </c>
      <c r="O15" s="56">
        <f>IF(H15="","No","Yes")</f>
        <v/>
      </c>
      <c r="P15" s="56">
        <f>IF(A15="","",COUNTIFS('Stability Checks'!$A$5:$A$2000,A15,'Stability Checks'!$C$5:$C$2000,"Re-execution",'Stability Checks'!$E$5:$E$2000,"Pass"))</f>
        <v/>
      </c>
      <c r="Q15" s="56">
        <f>IF(A15="","",COUNTIFS('Stability Checks'!$A$5:$A$2000,A15,'Stability Checks'!$C$5:$C$2000,"Re-prompt",'Stability Checks'!$E$5:$E$2000,"Pass"))</f>
        <v/>
      </c>
      <c r="R15" s="47">
        <f>IF(A15="","",'Run Plan'!Q15)</f>
        <v/>
      </c>
      <c r="S15" s="50" t="n"/>
    </row>
    <row r="16">
      <c r="A16" s="55">
        <f>IF('Run Plan'!A16="","",'Run Plan'!A16)</f>
        <v/>
      </c>
      <c r="B16" s="55">
        <f>IF(A16="","",'Run Plan'!C16)</f>
        <v/>
      </c>
      <c r="C16" s="55">
        <f>IF(A16="","",'Run Plan'!E16)</f>
        <v/>
      </c>
      <c r="D16" s="54">
        <f>IF(A16="","",'Run Plan'!G16)</f>
        <v/>
      </c>
      <c r="E16" s="47">
        <f>IF(A16="","",'Run Plan'!K16)</f>
        <v/>
      </c>
      <c r="F16" s="47">
        <f>IF(A16="","",'Run Plan'!J16)</f>
        <v/>
      </c>
      <c r="G16" s="56">
        <f>IF(A16="","",COUNTIF('Turn Log'!$B$5:$B$5000,A16))</f>
        <v/>
      </c>
      <c r="H16" s="56">
        <f>IF(A16="","",IFERROR(MINIFS('Turn Log'!$C$5:$C$5000,'Turn Log'!$B$5:$B$5000,A16,'Turn Log'!$Q$5:$Q$5000,"Pass"),""))</f>
        <v/>
      </c>
      <c r="I16" s="56">
        <f>IF(A16="","",IFERROR(MAXIFS('Turn Log'!$C$5:$C$5000,'Turn Log'!$B$5:$B$5000,A16),""))</f>
        <v/>
      </c>
      <c r="J16" s="56">
        <f>IF(A16="","",IFERROR(INDEX('Turn Log'!$Q$5:$Q$5000,MATCH(1,('Turn Log'!$B$5:$B$5000=A16)*('Turn Log'!$C$5:$C$5000=I16),0)),""))</f>
        <v/>
      </c>
      <c r="K16" s="56">
        <f>IF(A16="","",IFERROR(INDEX('Turn Log'!$R$5:$R$5000,MATCH(1,('Turn Log'!$B$5:$B$5000=A16)*('Turn Log'!$C$5:$C$5000=I16),0)),""))</f>
        <v/>
      </c>
      <c r="L16" s="56">
        <f>IF(A16="","",COUNTIFS('Turn Log'!$B$5:$B$5000,A16,'Turn Log'!$X$5:$X$5000,1))</f>
        <v/>
      </c>
      <c r="M16" s="56">
        <f>IF(A16="","",COUNTIFS('Turn Log'!$B$5:$B$5000,A16,'Turn Log'!$Y$5:$Y$5000,1))</f>
        <v/>
      </c>
      <c r="N16" s="56">
        <f>IF(A16="","",COUNTIFS('Turn Log'!$B$5:$B$5000,A16,'Turn Log'!$W$5:$W$5000,1))</f>
        <v/>
      </c>
      <c r="O16" s="56">
        <f>IF(H16="","No","Yes")</f>
        <v/>
      </c>
      <c r="P16" s="56">
        <f>IF(A16="","",COUNTIFS('Stability Checks'!$A$5:$A$2000,A16,'Stability Checks'!$C$5:$C$2000,"Re-execution",'Stability Checks'!$E$5:$E$2000,"Pass"))</f>
        <v/>
      </c>
      <c r="Q16" s="56">
        <f>IF(A16="","",COUNTIFS('Stability Checks'!$A$5:$A$2000,A16,'Stability Checks'!$C$5:$C$2000,"Re-prompt",'Stability Checks'!$E$5:$E$2000,"Pass"))</f>
        <v/>
      </c>
      <c r="R16" s="47">
        <f>IF(A16="","",'Run Plan'!Q16)</f>
        <v/>
      </c>
      <c r="S16" s="50" t="n"/>
    </row>
    <row r="17">
      <c r="A17" s="55">
        <f>IF('Run Plan'!A17="","",'Run Plan'!A17)</f>
        <v/>
      </c>
      <c r="B17" s="55">
        <f>IF(A17="","",'Run Plan'!C17)</f>
        <v/>
      </c>
      <c r="C17" s="55">
        <f>IF(A17="","",'Run Plan'!E17)</f>
        <v/>
      </c>
      <c r="D17" s="54">
        <f>IF(A17="","",'Run Plan'!G17)</f>
        <v/>
      </c>
      <c r="E17" s="47">
        <f>IF(A17="","",'Run Plan'!K17)</f>
        <v/>
      </c>
      <c r="F17" s="47">
        <f>IF(A17="","",'Run Plan'!J17)</f>
        <v/>
      </c>
      <c r="G17" s="56">
        <f>IF(A17="","",COUNTIF('Turn Log'!$B$5:$B$5000,A17))</f>
        <v/>
      </c>
      <c r="H17" s="56">
        <f>IF(A17="","",IFERROR(MINIFS('Turn Log'!$C$5:$C$5000,'Turn Log'!$B$5:$B$5000,A17,'Turn Log'!$Q$5:$Q$5000,"Pass"),""))</f>
        <v/>
      </c>
      <c r="I17" s="56">
        <f>IF(A17="","",IFERROR(MAXIFS('Turn Log'!$C$5:$C$5000,'Turn Log'!$B$5:$B$5000,A17),""))</f>
        <v/>
      </c>
      <c r="J17" s="56">
        <f>IF(A17="","",IFERROR(INDEX('Turn Log'!$Q$5:$Q$5000,MATCH(1,('Turn Log'!$B$5:$B$5000=A17)*('Turn Log'!$C$5:$C$5000=I17),0)),""))</f>
        <v/>
      </c>
      <c r="K17" s="56">
        <f>IF(A17="","",IFERROR(INDEX('Turn Log'!$R$5:$R$5000,MATCH(1,('Turn Log'!$B$5:$B$5000=A17)*('Turn Log'!$C$5:$C$5000=I17),0)),""))</f>
        <v/>
      </c>
      <c r="L17" s="56">
        <f>IF(A17="","",COUNTIFS('Turn Log'!$B$5:$B$5000,A17,'Turn Log'!$X$5:$X$5000,1))</f>
        <v/>
      </c>
      <c r="M17" s="56">
        <f>IF(A17="","",COUNTIFS('Turn Log'!$B$5:$B$5000,A17,'Turn Log'!$Y$5:$Y$5000,1))</f>
        <v/>
      </c>
      <c r="N17" s="56">
        <f>IF(A17="","",COUNTIFS('Turn Log'!$B$5:$B$5000,A17,'Turn Log'!$W$5:$W$5000,1))</f>
        <v/>
      </c>
      <c r="O17" s="56">
        <f>IF(H17="","No","Yes")</f>
        <v/>
      </c>
      <c r="P17" s="56">
        <f>IF(A17="","",COUNTIFS('Stability Checks'!$A$5:$A$2000,A17,'Stability Checks'!$C$5:$C$2000,"Re-execution",'Stability Checks'!$E$5:$E$2000,"Pass"))</f>
        <v/>
      </c>
      <c r="Q17" s="56">
        <f>IF(A17="","",COUNTIFS('Stability Checks'!$A$5:$A$2000,A17,'Stability Checks'!$C$5:$C$2000,"Re-prompt",'Stability Checks'!$E$5:$E$2000,"Pass"))</f>
        <v/>
      </c>
      <c r="R17" s="47">
        <f>IF(A17="","",'Run Plan'!Q17)</f>
        <v/>
      </c>
      <c r="S17" s="50" t="n"/>
    </row>
    <row r="18">
      <c r="A18" s="55">
        <f>IF('Run Plan'!A18="","",'Run Plan'!A18)</f>
        <v/>
      </c>
      <c r="B18" s="55">
        <f>IF(A18="","",'Run Plan'!C18)</f>
        <v/>
      </c>
      <c r="C18" s="55">
        <f>IF(A18="","",'Run Plan'!E18)</f>
        <v/>
      </c>
      <c r="D18" s="54">
        <f>IF(A18="","",'Run Plan'!G18)</f>
        <v/>
      </c>
      <c r="E18" s="47">
        <f>IF(A18="","",'Run Plan'!K18)</f>
        <v/>
      </c>
      <c r="F18" s="47">
        <f>IF(A18="","",'Run Plan'!J18)</f>
        <v/>
      </c>
      <c r="G18" s="56">
        <f>IF(A18="","",COUNTIF('Turn Log'!$B$5:$B$5000,A18))</f>
        <v/>
      </c>
      <c r="H18" s="56">
        <f>IF(A18="","",IFERROR(MINIFS('Turn Log'!$C$5:$C$5000,'Turn Log'!$B$5:$B$5000,A18,'Turn Log'!$Q$5:$Q$5000,"Pass"),""))</f>
        <v/>
      </c>
      <c r="I18" s="56">
        <f>IF(A18="","",IFERROR(MAXIFS('Turn Log'!$C$5:$C$5000,'Turn Log'!$B$5:$B$5000,A18),""))</f>
        <v/>
      </c>
      <c r="J18" s="56">
        <f>IF(A18="","",IFERROR(INDEX('Turn Log'!$Q$5:$Q$5000,MATCH(1,('Turn Log'!$B$5:$B$5000=A18)*('Turn Log'!$C$5:$C$5000=I18),0)),""))</f>
        <v/>
      </c>
      <c r="K18" s="56">
        <f>IF(A18="","",IFERROR(INDEX('Turn Log'!$R$5:$R$5000,MATCH(1,('Turn Log'!$B$5:$B$5000=A18)*('Turn Log'!$C$5:$C$5000=I18),0)),""))</f>
        <v/>
      </c>
      <c r="L18" s="56">
        <f>IF(A18="","",COUNTIFS('Turn Log'!$B$5:$B$5000,A18,'Turn Log'!$X$5:$X$5000,1))</f>
        <v/>
      </c>
      <c r="M18" s="56">
        <f>IF(A18="","",COUNTIFS('Turn Log'!$B$5:$B$5000,A18,'Turn Log'!$Y$5:$Y$5000,1))</f>
        <v/>
      </c>
      <c r="N18" s="56">
        <f>IF(A18="","",COUNTIFS('Turn Log'!$B$5:$B$5000,A18,'Turn Log'!$W$5:$W$5000,1))</f>
        <v/>
      </c>
      <c r="O18" s="56">
        <f>IF(H18="","No","Yes")</f>
        <v/>
      </c>
      <c r="P18" s="56">
        <f>IF(A18="","",COUNTIFS('Stability Checks'!$A$5:$A$2000,A18,'Stability Checks'!$C$5:$C$2000,"Re-execution",'Stability Checks'!$E$5:$E$2000,"Pass"))</f>
        <v/>
      </c>
      <c r="Q18" s="56">
        <f>IF(A18="","",COUNTIFS('Stability Checks'!$A$5:$A$2000,A18,'Stability Checks'!$C$5:$C$2000,"Re-prompt",'Stability Checks'!$E$5:$E$2000,"Pass"))</f>
        <v/>
      </c>
      <c r="R18" s="47">
        <f>IF(A18="","",'Run Plan'!Q18)</f>
        <v/>
      </c>
      <c r="S18" s="50" t="n"/>
    </row>
    <row r="19">
      <c r="A19" s="55">
        <f>IF('Run Plan'!A19="","",'Run Plan'!A19)</f>
        <v/>
      </c>
      <c r="B19" s="55">
        <f>IF(A19="","",'Run Plan'!C19)</f>
        <v/>
      </c>
      <c r="C19" s="55">
        <f>IF(A19="","",'Run Plan'!E19)</f>
        <v/>
      </c>
      <c r="D19" s="54">
        <f>IF(A19="","",'Run Plan'!G19)</f>
        <v/>
      </c>
      <c r="E19" s="47">
        <f>IF(A19="","",'Run Plan'!K19)</f>
        <v/>
      </c>
      <c r="F19" s="47">
        <f>IF(A19="","",'Run Plan'!J19)</f>
        <v/>
      </c>
      <c r="G19" s="56">
        <f>IF(A19="","",COUNTIF('Turn Log'!$B$5:$B$5000,A19))</f>
        <v/>
      </c>
      <c r="H19" s="56">
        <f>IF(A19="","",IFERROR(MINIFS('Turn Log'!$C$5:$C$5000,'Turn Log'!$B$5:$B$5000,A19,'Turn Log'!$Q$5:$Q$5000,"Pass"),""))</f>
        <v/>
      </c>
      <c r="I19" s="56">
        <f>IF(A19="","",IFERROR(MAXIFS('Turn Log'!$C$5:$C$5000,'Turn Log'!$B$5:$B$5000,A19),""))</f>
        <v/>
      </c>
      <c r="J19" s="56">
        <f>IF(A19="","",IFERROR(INDEX('Turn Log'!$Q$5:$Q$5000,MATCH(1,('Turn Log'!$B$5:$B$5000=A19)*('Turn Log'!$C$5:$C$5000=I19),0)),""))</f>
        <v/>
      </c>
      <c r="K19" s="56">
        <f>IF(A19="","",IFERROR(INDEX('Turn Log'!$R$5:$R$5000,MATCH(1,('Turn Log'!$B$5:$B$5000=A19)*('Turn Log'!$C$5:$C$5000=I19),0)),""))</f>
        <v/>
      </c>
      <c r="L19" s="56">
        <f>IF(A19="","",COUNTIFS('Turn Log'!$B$5:$B$5000,A19,'Turn Log'!$X$5:$X$5000,1))</f>
        <v/>
      </c>
      <c r="M19" s="56">
        <f>IF(A19="","",COUNTIFS('Turn Log'!$B$5:$B$5000,A19,'Turn Log'!$Y$5:$Y$5000,1))</f>
        <v/>
      </c>
      <c r="N19" s="56">
        <f>IF(A19="","",COUNTIFS('Turn Log'!$B$5:$B$5000,A19,'Turn Log'!$W$5:$W$5000,1))</f>
        <v/>
      </c>
      <c r="O19" s="56">
        <f>IF(H19="","No","Yes")</f>
        <v/>
      </c>
      <c r="P19" s="56">
        <f>IF(A19="","",COUNTIFS('Stability Checks'!$A$5:$A$2000,A19,'Stability Checks'!$C$5:$C$2000,"Re-execution",'Stability Checks'!$E$5:$E$2000,"Pass"))</f>
        <v/>
      </c>
      <c r="Q19" s="56">
        <f>IF(A19="","",COUNTIFS('Stability Checks'!$A$5:$A$2000,A19,'Stability Checks'!$C$5:$C$2000,"Re-prompt",'Stability Checks'!$E$5:$E$2000,"Pass"))</f>
        <v/>
      </c>
      <c r="R19" s="47">
        <f>IF(A19="","",'Run Plan'!Q19)</f>
        <v/>
      </c>
      <c r="S19" s="50" t="n"/>
    </row>
    <row r="20">
      <c r="A20" s="55">
        <f>IF('Run Plan'!A20="","",'Run Plan'!A20)</f>
        <v/>
      </c>
      <c r="B20" s="55">
        <f>IF(A20="","",'Run Plan'!C20)</f>
        <v/>
      </c>
      <c r="C20" s="55">
        <f>IF(A20="","",'Run Plan'!E20)</f>
        <v/>
      </c>
      <c r="D20" s="54">
        <f>IF(A20="","",'Run Plan'!G20)</f>
        <v/>
      </c>
      <c r="E20" s="47">
        <f>IF(A20="","",'Run Plan'!K20)</f>
        <v/>
      </c>
      <c r="F20" s="47">
        <f>IF(A20="","",'Run Plan'!J20)</f>
        <v/>
      </c>
      <c r="G20" s="56">
        <f>IF(A20="","",COUNTIF('Turn Log'!$B$5:$B$5000,A20))</f>
        <v/>
      </c>
      <c r="H20" s="56">
        <f>IF(A20="","",IFERROR(MINIFS('Turn Log'!$C$5:$C$5000,'Turn Log'!$B$5:$B$5000,A20,'Turn Log'!$Q$5:$Q$5000,"Pass"),""))</f>
        <v/>
      </c>
      <c r="I20" s="56">
        <f>IF(A20="","",IFERROR(MAXIFS('Turn Log'!$C$5:$C$5000,'Turn Log'!$B$5:$B$5000,A20),""))</f>
        <v/>
      </c>
      <c r="J20" s="56">
        <f>IF(A20="","",IFERROR(INDEX('Turn Log'!$Q$5:$Q$5000,MATCH(1,('Turn Log'!$B$5:$B$5000=A20)*('Turn Log'!$C$5:$C$5000=I20),0)),""))</f>
        <v/>
      </c>
      <c r="K20" s="56">
        <f>IF(A20="","",IFERROR(INDEX('Turn Log'!$R$5:$R$5000,MATCH(1,('Turn Log'!$B$5:$B$5000=A20)*('Turn Log'!$C$5:$C$5000=I20),0)),""))</f>
        <v/>
      </c>
      <c r="L20" s="56">
        <f>IF(A20="","",COUNTIFS('Turn Log'!$B$5:$B$5000,A20,'Turn Log'!$X$5:$X$5000,1))</f>
        <v/>
      </c>
      <c r="M20" s="56">
        <f>IF(A20="","",COUNTIFS('Turn Log'!$B$5:$B$5000,A20,'Turn Log'!$Y$5:$Y$5000,1))</f>
        <v/>
      </c>
      <c r="N20" s="56">
        <f>IF(A20="","",COUNTIFS('Turn Log'!$B$5:$B$5000,A20,'Turn Log'!$W$5:$W$5000,1))</f>
        <v/>
      </c>
      <c r="O20" s="56">
        <f>IF(H20="","No","Yes")</f>
        <v/>
      </c>
      <c r="P20" s="56">
        <f>IF(A20="","",COUNTIFS('Stability Checks'!$A$5:$A$2000,A20,'Stability Checks'!$C$5:$C$2000,"Re-execution",'Stability Checks'!$E$5:$E$2000,"Pass"))</f>
        <v/>
      </c>
      <c r="Q20" s="56">
        <f>IF(A20="","",COUNTIFS('Stability Checks'!$A$5:$A$2000,A20,'Stability Checks'!$C$5:$C$2000,"Re-prompt",'Stability Checks'!$E$5:$E$2000,"Pass"))</f>
        <v/>
      </c>
      <c r="R20" s="47">
        <f>IF(A20="","",'Run Plan'!Q20)</f>
        <v/>
      </c>
      <c r="S20" s="50" t="n"/>
    </row>
    <row r="21" ht="15.75" customHeight="1" s="40">
      <c r="A21" s="55">
        <f>IF('Run Plan'!A21="","",'Run Plan'!A21)</f>
        <v/>
      </c>
      <c r="B21" s="55">
        <f>IF(A21="","",'Run Plan'!C21)</f>
        <v/>
      </c>
      <c r="C21" s="55">
        <f>IF(A21="","",'Run Plan'!E21)</f>
        <v/>
      </c>
      <c r="D21" s="54">
        <f>IF(A21="","",'Run Plan'!G21)</f>
        <v/>
      </c>
      <c r="E21" s="47">
        <f>IF(A21="","",'Run Plan'!K21)</f>
        <v/>
      </c>
      <c r="F21" s="47">
        <f>IF(A21="","",'Run Plan'!J21)</f>
        <v/>
      </c>
      <c r="G21" s="56">
        <f>IF(A21="","",COUNTIF('Turn Log'!$B$5:$B$5000,A21))</f>
        <v/>
      </c>
      <c r="H21" s="56">
        <f>IF(A21="","",IFERROR(MINIFS('Turn Log'!$C$5:$C$5000,'Turn Log'!$B$5:$B$5000,A21,'Turn Log'!$Q$5:$Q$5000,"Pass"),""))</f>
        <v/>
      </c>
      <c r="I21" s="56">
        <f>IF(A21="","",IFERROR(MAXIFS('Turn Log'!$C$5:$C$5000,'Turn Log'!$B$5:$B$5000,A21),""))</f>
        <v/>
      </c>
      <c r="J21" s="56">
        <f>IF(A21="","",IFERROR(INDEX('Turn Log'!$Q$5:$Q$5000,MATCH(1,('Turn Log'!$B$5:$B$5000=A21)*('Turn Log'!$C$5:$C$5000=I21),0)),""))</f>
        <v/>
      </c>
      <c r="K21" s="56">
        <f>IF(A21="","",IFERROR(INDEX('Turn Log'!$R$5:$R$5000,MATCH(1,('Turn Log'!$B$5:$B$5000=A21)*('Turn Log'!$C$5:$C$5000=I21),0)),""))</f>
        <v/>
      </c>
      <c r="L21" s="56">
        <f>IF(A21="","",COUNTIFS('Turn Log'!$B$5:$B$5000,A21,'Turn Log'!$X$5:$X$5000,1))</f>
        <v/>
      </c>
      <c r="M21" s="56">
        <f>IF(A21="","",COUNTIFS('Turn Log'!$B$5:$B$5000,A21,'Turn Log'!$Y$5:$Y$5000,1))</f>
        <v/>
      </c>
      <c r="N21" s="56">
        <f>IF(A21="","",COUNTIFS('Turn Log'!$B$5:$B$5000,A21,'Turn Log'!$W$5:$W$5000,1))</f>
        <v/>
      </c>
      <c r="O21" s="56">
        <f>IF(H21="","No","Yes")</f>
        <v/>
      </c>
      <c r="P21" s="56">
        <f>IF(A21="","",COUNTIFS('Stability Checks'!$A$5:$A$2000,A21,'Stability Checks'!$C$5:$C$2000,"Re-execution",'Stability Checks'!$E$5:$E$2000,"Pass"))</f>
        <v/>
      </c>
      <c r="Q21" s="56">
        <f>IF(A21="","",COUNTIFS('Stability Checks'!$A$5:$A$2000,A21,'Stability Checks'!$C$5:$C$2000,"Re-prompt",'Stability Checks'!$E$5:$E$2000,"Pass"))</f>
        <v/>
      </c>
      <c r="R21" s="47">
        <f>IF(A21="","",'Run Plan'!Q21)</f>
        <v/>
      </c>
      <c r="S21" s="50" t="n"/>
    </row>
    <row r="22" ht="15.75" customHeight="1" s="40">
      <c r="A22" s="55">
        <f>IF('Run Plan'!A22="","",'Run Plan'!A22)</f>
        <v/>
      </c>
      <c r="B22" s="55">
        <f>IF(A22="","",'Run Plan'!C22)</f>
        <v/>
      </c>
      <c r="C22" s="55">
        <f>IF(A22="","",'Run Plan'!E22)</f>
        <v/>
      </c>
      <c r="D22" s="54">
        <f>IF(A22="","",'Run Plan'!G22)</f>
        <v/>
      </c>
      <c r="E22" s="47">
        <f>IF(A22="","",'Run Plan'!K22)</f>
        <v/>
      </c>
      <c r="F22" s="47">
        <f>IF(A22="","",'Run Plan'!J22)</f>
        <v/>
      </c>
      <c r="G22" s="56">
        <f>IF(A22="","",COUNTIF('Turn Log'!$B$5:$B$5000,A22))</f>
        <v/>
      </c>
      <c r="H22" s="56">
        <f>IF(A22="","",IFERROR(MINIFS('Turn Log'!$C$5:$C$5000,'Turn Log'!$B$5:$B$5000,A22,'Turn Log'!$Q$5:$Q$5000,"Pass"),""))</f>
        <v/>
      </c>
      <c r="I22" s="56">
        <f>IF(A22="","",IFERROR(MAXIFS('Turn Log'!$C$5:$C$5000,'Turn Log'!$B$5:$B$5000,A22),""))</f>
        <v/>
      </c>
      <c r="J22" s="56">
        <f>IF(A22="","",IFERROR(INDEX('Turn Log'!$Q$5:$Q$5000,MATCH(1,('Turn Log'!$B$5:$B$5000=A22)*('Turn Log'!$C$5:$C$5000=I22),0)),""))</f>
        <v/>
      </c>
      <c r="K22" s="56">
        <f>IF(A22="","",IFERROR(INDEX('Turn Log'!$R$5:$R$5000,MATCH(1,('Turn Log'!$B$5:$B$5000=A22)*('Turn Log'!$C$5:$C$5000=I22),0)),""))</f>
        <v/>
      </c>
      <c r="L22" s="56">
        <f>IF(A22="","",COUNTIFS('Turn Log'!$B$5:$B$5000,A22,'Turn Log'!$X$5:$X$5000,1))</f>
        <v/>
      </c>
      <c r="M22" s="56">
        <f>IF(A22="","",COUNTIFS('Turn Log'!$B$5:$B$5000,A22,'Turn Log'!$Y$5:$Y$5000,1))</f>
        <v/>
      </c>
      <c r="N22" s="56">
        <f>IF(A22="","",COUNTIFS('Turn Log'!$B$5:$B$5000,A22,'Turn Log'!$W$5:$W$5000,1))</f>
        <v/>
      </c>
      <c r="O22" s="56">
        <f>IF(H22="","No","Yes")</f>
        <v/>
      </c>
      <c r="P22" s="56">
        <f>IF(A22="","",COUNTIFS('Stability Checks'!$A$5:$A$2000,A22,'Stability Checks'!$C$5:$C$2000,"Re-execution",'Stability Checks'!$E$5:$E$2000,"Pass"))</f>
        <v/>
      </c>
      <c r="Q22" s="56">
        <f>IF(A22="","",COUNTIFS('Stability Checks'!$A$5:$A$2000,A22,'Stability Checks'!$C$5:$C$2000,"Re-prompt",'Stability Checks'!$E$5:$E$2000,"Pass"))</f>
        <v/>
      </c>
      <c r="R22" s="47">
        <f>IF(A22="","",'Run Plan'!Q22)</f>
        <v/>
      </c>
      <c r="S22" s="50" t="n"/>
    </row>
    <row r="23" ht="15.75" customHeight="1" s="40">
      <c r="A23" s="55">
        <f>IF('Run Plan'!A23="","",'Run Plan'!A23)</f>
        <v/>
      </c>
      <c r="B23" s="55">
        <f>IF(A23="","",'Run Plan'!C23)</f>
        <v/>
      </c>
      <c r="C23" s="55">
        <f>IF(A23="","",'Run Plan'!E23)</f>
        <v/>
      </c>
      <c r="D23" s="54">
        <f>IF(A23="","",'Run Plan'!G23)</f>
        <v/>
      </c>
      <c r="E23" s="47">
        <f>IF(A23="","",'Run Plan'!K23)</f>
        <v/>
      </c>
      <c r="F23" s="47">
        <f>IF(A23="","",'Run Plan'!J23)</f>
        <v/>
      </c>
      <c r="G23" s="56">
        <f>IF(A23="","",COUNTIF('Turn Log'!$B$5:$B$5000,A23))</f>
        <v/>
      </c>
      <c r="H23" s="56">
        <f>IF(A23="","",IFERROR(MINIFS('Turn Log'!$C$5:$C$5000,'Turn Log'!$B$5:$B$5000,A23,'Turn Log'!$Q$5:$Q$5000,"Pass"),""))</f>
        <v/>
      </c>
      <c r="I23" s="56">
        <f>IF(A23="","",IFERROR(MAXIFS('Turn Log'!$C$5:$C$5000,'Turn Log'!$B$5:$B$5000,A23),""))</f>
        <v/>
      </c>
      <c r="J23" s="56">
        <f>IF(A23="","",IFERROR(INDEX('Turn Log'!$Q$5:$Q$5000,MATCH(1,('Turn Log'!$B$5:$B$5000=A23)*('Turn Log'!$C$5:$C$5000=I23),0)),""))</f>
        <v/>
      </c>
      <c r="K23" s="56">
        <f>IF(A23="","",IFERROR(INDEX('Turn Log'!$R$5:$R$5000,MATCH(1,('Turn Log'!$B$5:$B$5000=A23)*('Turn Log'!$C$5:$C$5000=I23),0)),""))</f>
        <v/>
      </c>
      <c r="L23" s="56">
        <f>IF(A23="","",COUNTIFS('Turn Log'!$B$5:$B$5000,A23,'Turn Log'!$X$5:$X$5000,1))</f>
        <v/>
      </c>
      <c r="M23" s="56">
        <f>IF(A23="","",COUNTIFS('Turn Log'!$B$5:$B$5000,A23,'Turn Log'!$Y$5:$Y$5000,1))</f>
        <v/>
      </c>
      <c r="N23" s="56">
        <f>IF(A23="","",COUNTIFS('Turn Log'!$B$5:$B$5000,A23,'Turn Log'!$W$5:$W$5000,1))</f>
        <v/>
      </c>
      <c r="O23" s="56">
        <f>IF(H23="","No","Yes")</f>
        <v/>
      </c>
      <c r="P23" s="56">
        <f>IF(A23="","",COUNTIFS('Stability Checks'!$A$5:$A$2000,A23,'Stability Checks'!$C$5:$C$2000,"Re-execution",'Stability Checks'!$E$5:$E$2000,"Pass"))</f>
        <v/>
      </c>
      <c r="Q23" s="56">
        <f>IF(A23="","",COUNTIFS('Stability Checks'!$A$5:$A$2000,A23,'Stability Checks'!$C$5:$C$2000,"Re-prompt",'Stability Checks'!$E$5:$E$2000,"Pass"))</f>
        <v/>
      </c>
      <c r="R23" s="47">
        <f>IF(A23="","",'Run Plan'!Q23)</f>
        <v/>
      </c>
      <c r="S23" s="50" t="n"/>
    </row>
    <row r="24" ht="15.75" customHeight="1" s="40">
      <c r="A24" s="55">
        <f>IF('Run Plan'!A24="","",'Run Plan'!A24)</f>
        <v/>
      </c>
      <c r="B24" s="55">
        <f>IF(A24="","",'Run Plan'!C24)</f>
        <v/>
      </c>
      <c r="C24" s="55">
        <f>IF(A24="","",'Run Plan'!E24)</f>
        <v/>
      </c>
      <c r="D24" s="54">
        <f>IF(A24="","",'Run Plan'!G24)</f>
        <v/>
      </c>
      <c r="E24" s="47">
        <f>IF(A24="","",'Run Plan'!K24)</f>
        <v/>
      </c>
      <c r="F24" s="47">
        <f>IF(A24="","",'Run Plan'!J24)</f>
        <v/>
      </c>
      <c r="G24" s="56">
        <f>IF(A24="","",COUNTIF('Turn Log'!$B$5:$B$5000,A24))</f>
        <v/>
      </c>
      <c r="H24" s="56">
        <f>IF(A24="","",IFERROR(MINIFS('Turn Log'!$C$5:$C$5000,'Turn Log'!$B$5:$B$5000,A24,'Turn Log'!$Q$5:$Q$5000,"Pass"),""))</f>
        <v/>
      </c>
      <c r="I24" s="56">
        <f>IF(A24="","",IFERROR(MAXIFS('Turn Log'!$C$5:$C$5000,'Turn Log'!$B$5:$B$5000,A24),""))</f>
        <v/>
      </c>
      <c r="J24" s="56">
        <f>IF(A24="","",IFERROR(INDEX('Turn Log'!$Q$5:$Q$5000,MATCH(1,('Turn Log'!$B$5:$B$5000=A24)*('Turn Log'!$C$5:$C$5000=I24),0)),""))</f>
        <v/>
      </c>
      <c r="K24" s="56">
        <f>IF(A24="","",IFERROR(INDEX('Turn Log'!$R$5:$R$5000,MATCH(1,('Turn Log'!$B$5:$B$5000=A24)*('Turn Log'!$C$5:$C$5000=I24),0)),""))</f>
        <v/>
      </c>
      <c r="L24" s="56">
        <f>IF(A24="","",COUNTIFS('Turn Log'!$B$5:$B$5000,A24,'Turn Log'!$X$5:$X$5000,1))</f>
        <v/>
      </c>
      <c r="M24" s="56">
        <f>IF(A24="","",COUNTIFS('Turn Log'!$B$5:$B$5000,A24,'Turn Log'!$Y$5:$Y$5000,1))</f>
        <v/>
      </c>
      <c r="N24" s="56">
        <f>IF(A24="","",COUNTIFS('Turn Log'!$B$5:$B$5000,A24,'Turn Log'!$W$5:$W$5000,1))</f>
        <v/>
      </c>
      <c r="O24" s="56">
        <f>IF(H24="","No","Yes")</f>
        <v/>
      </c>
      <c r="P24" s="56">
        <f>IF(A24="","",COUNTIFS('Stability Checks'!$A$5:$A$2000,A24,'Stability Checks'!$C$5:$C$2000,"Re-execution",'Stability Checks'!$E$5:$E$2000,"Pass"))</f>
        <v/>
      </c>
      <c r="Q24" s="56">
        <f>IF(A24="","",COUNTIFS('Stability Checks'!$A$5:$A$2000,A24,'Stability Checks'!$C$5:$C$2000,"Re-prompt",'Stability Checks'!$E$5:$E$2000,"Pass"))</f>
        <v/>
      </c>
      <c r="R24" s="47">
        <f>IF(A24="","",'Run Plan'!Q24)</f>
        <v/>
      </c>
      <c r="S24" s="50" t="n"/>
    </row>
    <row r="25" ht="15.75" customHeight="1" s="40">
      <c r="A25" s="55">
        <f>IF('Run Plan'!A25="","",'Run Plan'!A25)</f>
        <v/>
      </c>
      <c r="B25" s="55">
        <f>IF(A25="","",'Run Plan'!C25)</f>
        <v/>
      </c>
      <c r="C25" s="55">
        <f>IF(A25="","",'Run Plan'!E25)</f>
        <v/>
      </c>
      <c r="D25" s="54">
        <f>IF(A25="","",'Run Plan'!G25)</f>
        <v/>
      </c>
      <c r="E25" s="47">
        <f>IF(A25="","",'Run Plan'!K25)</f>
        <v/>
      </c>
      <c r="F25" s="47">
        <f>IF(A25="","",'Run Plan'!J25)</f>
        <v/>
      </c>
      <c r="G25" s="56">
        <f>IF(A25="","",COUNTIF('Turn Log'!$B$5:$B$5000,A25))</f>
        <v/>
      </c>
      <c r="H25" s="56">
        <f>IF(A25="","",IFERROR(MINIFS('Turn Log'!$C$5:$C$5000,'Turn Log'!$B$5:$B$5000,A25,'Turn Log'!$Q$5:$Q$5000,"Pass"),""))</f>
        <v/>
      </c>
      <c r="I25" s="56">
        <f>IF(A25="","",IFERROR(MAXIFS('Turn Log'!$C$5:$C$5000,'Turn Log'!$B$5:$B$5000,A25),""))</f>
        <v/>
      </c>
      <c r="J25" s="56">
        <f>IF(A25="","",IFERROR(INDEX('Turn Log'!$Q$5:$Q$5000,MATCH(1,('Turn Log'!$B$5:$B$5000=A25)*('Turn Log'!$C$5:$C$5000=I25),0)),""))</f>
        <v/>
      </c>
      <c r="K25" s="56">
        <f>IF(A25="","",IFERROR(INDEX('Turn Log'!$R$5:$R$5000,MATCH(1,('Turn Log'!$B$5:$B$5000=A25)*('Turn Log'!$C$5:$C$5000=I25),0)),""))</f>
        <v/>
      </c>
      <c r="L25" s="56">
        <f>IF(A25="","",COUNTIFS('Turn Log'!$B$5:$B$5000,A25,'Turn Log'!$X$5:$X$5000,1))</f>
        <v/>
      </c>
      <c r="M25" s="56">
        <f>IF(A25="","",COUNTIFS('Turn Log'!$B$5:$B$5000,A25,'Turn Log'!$Y$5:$Y$5000,1))</f>
        <v/>
      </c>
      <c r="N25" s="56">
        <f>IF(A25="","",COUNTIFS('Turn Log'!$B$5:$B$5000,A25,'Turn Log'!$W$5:$W$5000,1))</f>
        <v/>
      </c>
      <c r="O25" s="56">
        <f>IF(H25="","No","Yes")</f>
        <v/>
      </c>
      <c r="P25" s="56">
        <f>IF(A25="","",COUNTIFS('Stability Checks'!$A$5:$A$2000,A25,'Stability Checks'!$C$5:$C$2000,"Re-execution",'Stability Checks'!$E$5:$E$2000,"Pass"))</f>
        <v/>
      </c>
      <c r="Q25" s="56">
        <f>IF(A25="","",COUNTIFS('Stability Checks'!$A$5:$A$2000,A25,'Stability Checks'!$C$5:$C$2000,"Re-prompt",'Stability Checks'!$E$5:$E$2000,"Pass"))</f>
        <v/>
      </c>
      <c r="R25" s="47">
        <f>IF(A25="","",'Run Plan'!Q25)</f>
        <v/>
      </c>
      <c r="S25" s="50" t="n"/>
    </row>
    <row r="26" ht="15.75" customHeight="1" s="40">
      <c r="A26" s="55">
        <f>IF('Run Plan'!A26="","",'Run Plan'!A26)</f>
        <v/>
      </c>
      <c r="B26" s="55">
        <f>IF(A26="","",'Run Plan'!C26)</f>
        <v/>
      </c>
      <c r="C26" s="55">
        <f>IF(A26="","",'Run Plan'!E26)</f>
        <v/>
      </c>
      <c r="D26" s="54">
        <f>IF(A26="","",'Run Plan'!G26)</f>
        <v/>
      </c>
      <c r="E26" s="47">
        <f>IF(A26="","",'Run Plan'!K26)</f>
        <v/>
      </c>
      <c r="F26" s="47">
        <f>IF(A26="","",'Run Plan'!J26)</f>
        <v/>
      </c>
      <c r="G26" s="56">
        <f>IF(A26="","",COUNTIF('Turn Log'!$B$5:$B$5000,A26))</f>
        <v/>
      </c>
      <c r="H26" s="56">
        <f>IF(A26="","",IFERROR(MINIFS('Turn Log'!$C$5:$C$5000,'Turn Log'!$B$5:$B$5000,A26,'Turn Log'!$Q$5:$Q$5000,"Pass"),""))</f>
        <v/>
      </c>
      <c r="I26" s="56">
        <f>IF(A26="","",IFERROR(MAXIFS('Turn Log'!$C$5:$C$5000,'Turn Log'!$B$5:$B$5000,A26),""))</f>
        <v/>
      </c>
      <c r="J26" s="56">
        <f>IF(A26="","",IFERROR(INDEX('Turn Log'!$Q$5:$Q$5000,MATCH(1,('Turn Log'!$B$5:$B$5000=A26)*('Turn Log'!$C$5:$C$5000=I26),0)),""))</f>
        <v/>
      </c>
      <c r="K26" s="56">
        <f>IF(A26="","",IFERROR(INDEX('Turn Log'!$R$5:$R$5000,MATCH(1,('Turn Log'!$B$5:$B$5000=A26)*('Turn Log'!$C$5:$C$5000=I26),0)),""))</f>
        <v/>
      </c>
      <c r="L26" s="56">
        <f>IF(A26="","",COUNTIFS('Turn Log'!$B$5:$B$5000,A26,'Turn Log'!$X$5:$X$5000,1))</f>
        <v/>
      </c>
      <c r="M26" s="56">
        <f>IF(A26="","",COUNTIFS('Turn Log'!$B$5:$B$5000,A26,'Turn Log'!$Y$5:$Y$5000,1))</f>
        <v/>
      </c>
      <c r="N26" s="56">
        <f>IF(A26="","",COUNTIFS('Turn Log'!$B$5:$B$5000,A26,'Turn Log'!$W$5:$W$5000,1))</f>
        <v/>
      </c>
      <c r="O26" s="56">
        <f>IF(H26="","No","Yes")</f>
        <v/>
      </c>
      <c r="P26" s="56">
        <f>IF(A26="","",COUNTIFS('Stability Checks'!$A$5:$A$2000,A26,'Stability Checks'!$C$5:$C$2000,"Re-execution",'Stability Checks'!$E$5:$E$2000,"Pass"))</f>
        <v/>
      </c>
      <c r="Q26" s="56">
        <f>IF(A26="","",COUNTIFS('Stability Checks'!$A$5:$A$2000,A26,'Stability Checks'!$C$5:$C$2000,"Re-prompt",'Stability Checks'!$E$5:$E$2000,"Pass"))</f>
        <v/>
      </c>
      <c r="R26" s="47">
        <f>IF(A26="","",'Run Plan'!Q26)</f>
        <v/>
      </c>
      <c r="S26" s="50" t="n"/>
    </row>
    <row r="27" ht="15.75" customHeight="1" s="40">
      <c r="A27" s="55">
        <f>IF('Run Plan'!A27="","",'Run Plan'!A27)</f>
        <v/>
      </c>
      <c r="B27" s="55">
        <f>IF(A27="","",'Run Plan'!C27)</f>
        <v/>
      </c>
      <c r="C27" s="55">
        <f>IF(A27="","",'Run Plan'!E27)</f>
        <v/>
      </c>
      <c r="D27" s="54">
        <f>IF(A27="","",'Run Plan'!G27)</f>
        <v/>
      </c>
      <c r="E27" s="47">
        <f>IF(A27="","",'Run Plan'!K27)</f>
        <v/>
      </c>
      <c r="F27" s="47">
        <f>IF(A27="","",'Run Plan'!J27)</f>
        <v/>
      </c>
      <c r="G27" s="56">
        <f>IF(A27="","",COUNTIF('Turn Log'!$B$5:$B$5000,A27))</f>
        <v/>
      </c>
      <c r="H27" s="56">
        <f>IF(A27="","",IFERROR(MINIFS('Turn Log'!$C$5:$C$5000,'Turn Log'!$B$5:$B$5000,A27,'Turn Log'!$Q$5:$Q$5000,"Pass"),""))</f>
        <v/>
      </c>
      <c r="I27" s="56">
        <f>IF(A27="","",IFERROR(MAXIFS('Turn Log'!$C$5:$C$5000,'Turn Log'!$B$5:$B$5000,A27),""))</f>
        <v/>
      </c>
      <c r="J27" s="56">
        <f>IF(A27="","",IFERROR(INDEX('Turn Log'!$Q$5:$Q$5000,MATCH(1,('Turn Log'!$B$5:$B$5000=A27)*('Turn Log'!$C$5:$C$5000=I27),0)),""))</f>
        <v/>
      </c>
      <c r="K27" s="56">
        <f>IF(A27="","",IFERROR(INDEX('Turn Log'!$R$5:$R$5000,MATCH(1,('Turn Log'!$B$5:$B$5000=A27)*('Turn Log'!$C$5:$C$5000=I27),0)),""))</f>
        <v/>
      </c>
      <c r="L27" s="56">
        <f>IF(A27="","",COUNTIFS('Turn Log'!$B$5:$B$5000,A27,'Turn Log'!$X$5:$X$5000,1))</f>
        <v/>
      </c>
      <c r="M27" s="56">
        <f>IF(A27="","",COUNTIFS('Turn Log'!$B$5:$B$5000,A27,'Turn Log'!$Y$5:$Y$5000,1))</f>
        <v/>
      </c>
      <c r="N27" s="56">
        <f>IF(A27="","",COUNTIFS('Turn Log'!$B$5:$B$5000,A27,'Turn Log'!$W$5:$W$5000,1))</f>
        <v/>
      </c>
      <c r="O27" s="56">
        <f>IF(H27="","No","Yes")</f>
        <v/>
      </c>
      <c r="P27" s="56">
        <f>IF(A27="","",COUNTIFS('Stability Checks'!$A$5:$A$2000,A27,'Stability Checks'!$C$5:$C$2000,"Re-execution",'Stability Checks'!$E$5:$E$2000,"Pass"))</f>
        <v/>
      </c>
      <c r="Q27" s="56">
        <f>IF(A27="","",COUNTIFS('Stability Checks'!$A$5:$A$2000,A27,'Stability Checks'!$C$5:$C$2000,"Re-prompt",'Stability Checks'!$E$5:$E$2000,"Pass"))</f>
        <v/>
      </c>
      <c r="R27" s="47">
        <f>IF(A27="","",'Run Plan'!Q27)</f>
        <v/>
      </c>
      <c r="S27" s="50" t="n"/>
    </row>
    <row r="28" ht="15.75" customHeight="1" s="40">
      <c r="A28" s="55">
        <f>IF('Run Plan'!A28="","",'Run Plan'!A28)</f>
        <v/>
      </c>
      <c r="B28" s="55">
        <f>IF(A28="","",'Run Plan'!C28)</f>
        <v/>
      </c>
      <c r="C28" s="55">
        <f>IF(A28="","",'Run Plan'!E28)</f>
        <v/>
      </c>
      <c r="D28" s="54">
        <f>IF(A28="","",'Run Plan'!G28)</f>
        <v/>
      </c>
      <c r="E28" s="47">
        <f>IF(A28="","",'Run Plan'!K28)</f>
        <v/>
      </c>
      <c r="F28" s="47">
        <f>IF(A28="","",'Run Plan'!J28)</f>
        <v/>
      </c>
      <c r="G28" s="56">
        <f>IF(A28="","",COUNTIF('Turn Log'!$B$5:$B$5000,A28))</f>
        <v/>
      </c>
      <c r="H28" s="56">
        <f>IF(A28="","",IFERROR(MINIFS('Turn Log'!$C$5:$C$5000,'Turn Log'!$B$5:$B$5000,A28,'Turn Log'!$Q$5:$Q$5000,"Pass"),""))</f>
        <v/>
      </c>
      <c r="I28" s="56">
        <f>IF(A28="","",IFERROR(MAXIFS('Turn Log'!$C$5:$C$5000,'Turn Log'!$B$5:$B$5000,A28),""))</f>
        <v/>
      </c>
      <c r="J28" s="56">
        <f>IF(A28="","",IFERROR(INDEX('Turn Log'!$Q$5:$Q$5000,MATCH(1,('Turn Log'!$B$5:$B$5000=A28)*('Turn Log'!$C$5:$C$5000=I28),0)),""))</f>
        <v/>
      </c>
      <c r="K28" s="56">
        <f>IF(A28="","",IFERROR(INDEX('Turn Log'!$R$5:$R$5000,MATCH(1,('Turn Log'!$B$5:$B$5000=A28)*('Turn Log'!$C$5:$C$5000=I28),0)),""))</f>
        <v/>
      </c>
      <c r="L28" s="56">
        <f>IF(A28="","",COUNTIFS('Turn Log'!$B$5:$B$5000,A28,'Turn Log'!$X$5:$X$5000,1))</f>
        <v/>
      </c>
      <c r="M28" s="56">
        <f>IF(A28="","",COUNTIFS('Turn Log'!$B$5:$B$5000,A28,'Turn Log'!$Y$5:$Y$5000,1))</f>
        <v/>
      </c>
      <c r="N28" s="56">
        <f>IF(A28="","",COUNTIFS('Turn Log'!$B$5:$B$5000,A28,'Turn Log'!$W$5:$W$5000,1))</f>
        <v/>
      </c>
      <c r="O28" s="56">
        <f>IF(H28="","No","Yes")</f>
        <v/>
      </c>
      <c r="P28" s="56">
        <f>IF(A28="","",COUNTIFS('Stability Checks'!$A$5:$A$2000,A28,'Stability Checks'!$C$5:$C$2000,"Re-execution",'Stability Checks'!$E$5:$E$2000,"Pass"))</f>
        <v/>
      </c>
      <c r="Q28" s="56">
        <f>IF(A28="","",COUNTIFS('Stability Checks'!$A$5:$A$2000,A28,'Stability Checks'!$C$5:$C$2000,"Re-prompt",'Stability Checks'!$E$5:$E$2000,"Pass"))</f>
        <v/>
      </c>
      <c r="R28" s="47">
        <f>IF(A28="","",'Run Plan'!Q28)</f>
        <v/>
      </c>
      <c r="S28" s="50" t="n"/>
    </row>
    <row r="29" ht="15.75" customHeight="1" s="40">
      <c r="A29" s="55">
        <f>IF('Run Plan'!A29="","",'Run Plan'!A29)</f>
        <v/>
      </c>
      <c r="B29" s="55">
        <f>IF(A29="","",'Run Plan'!C29)</f>
        <v/>
      </c>
      <c r="C29" s="55">
        <f>IF(A29="","",'Run Plan'!E29)</f>
        <v/>
      </c>
      <c r="D29" s="54">
        <f>IF(A29="","",'Run Plan'!G29)</f>
        <v/>
      </c>
      <c r="E29" s="47">
        <f>IF(A29="","",'Run Plan'!K29)</f>
        <v/>
      </c>
      <c r="F29" s="47">
        <f>IF(A29="","",'Run Plan'!J29)</f>
        <v/>
      </c>
      <c r="G29" s="56">
        <f>IF(A29="","",COUNTIF('Turn Log'!$B$5:$B$5000,A29))</f>
        <v/>
      </c>
      <c r="H29" s="56">
        <f>IF(A29="","",IFERROR(MINIFS('Turn Log'!$C$5:$C$5000,'Turn Log'!$B$5:$B$5000,A29,'Turn Log'!$Q$5:$Q$5000,"Pass"),""))</f>
        <v/>
      </c>
      <c r="I29" s="56">
        <f>IF(A29="","",IFERROR(MAXIFS('Turn Log'!$C$5:$C$5000,'Turn Log'!$B$5:$B$5000,A29),""))</f>
        <v/>
      </c>
      <c r="J29" s="56">
        <f>IF(A29="","",IFERROR(INDEX('Turn Log'!$Q$5:$Q$5000,MATCH(1,('Turn Log'!$B$5:$B$5000=A29)*('Turn Log'!$C$5:$C$5000=I29),0)),""))</f>
        <v/>
      </c>
      <c r="K29" s="56">
        <f>IF(A29="","",IFERROR(INDEX('Turn Log'!$R$5:$R$5000,MATCH(1,('Turn Log'!$B$5:$B$5000=A29)*('Turn Log'!$C$5:$C$5000=I29),0)),""))</f>
        <v/>
      </c>
      <c r="L29" s="56">
        <f>IF(A29="","",COUNTIFS('Turn Log'!$B$5:$B$5000,A29,'Turn Log'!$X$5:$X$5000,1))</f>
        <v/>
      </c>
      <c r="M29" s="56">
        <f>IF(A29="","",COUNTIFS('Turn Log'!$B$5:$B$5000,A29,'Turn Log'!$Y$5:$Y$5000,1))</f>
        <v/>
      </c>
      <c r="N29" s="56">
        <f>IF(A29="","",COUNTIFS('Turn Log'!$B$5:$B$5000,A29,'Turn Log'!$W$5:$W$5000,1))</f>
        <v/>
      </c>
      <c r="O29" s="56">
        <f>IF(H29="","No","Yes")</f>
        <v/>
      </c>
      <c r="P29" s="56">
        <f>IF(A29="","",COUNTIFS('Stability Checks'!$A$5:$A$2000,A29,'Stability Checks'!$C$5:$C$2000,"Re-execution",'Stability Checks'!$E$5:$E$2000,"Pass"))</f>
        <v/>
      </c>
      <c r="Q29" s="56">
        <f>IF(A29="","",COUNTIFS('Stability Checks'!$A$5:$A$2000,A29,'Stability Checks'!$C$5:$C$2000,"Re-prompt",'Stability Checks'!$E$5:$E$2000,"Pass"))</f>
        <v/>
      </c>
      <c r="R29" s="47">
        <f>IF(A29="","",'Run Plan'!Q29)</f>
        <v/>
      </c>
      <c r="S29" s="50" t="n"/>
    </row>
    <row r="30" ht="15.75" customHeight="1" s="40">
      <c r="A30" s="55">
        <f>IF('Run Plan'!A30="","",'Run Plan'!A30)</f>
        <v/>
      </c>
      <c r="B30" s="55">
        <f>IF(A30="","",'Run Plan'!C30)</f>
        <v/>
      </c>
      <c r="C30" s="55">
        <f>IF(A30="","",'Run Plan'!E30)</f>
        <v/>
      </c>
      <c r="D30" s="54">
        <f>IF(A30="","",'Run Plan'!G30)</f>
        <v/>
      </c>
      <c r="E30" s="47">
        <f>IF(A30="","",'Run Plan'!K30)</f>
        <v/>
      </c>
      <c r="F30" s="47">
        <f>IF(A30="","",'Run Plan'!J30)</f>
        <v/>
      </c>
      <c r="G30" s="56">
        <f>IF(A30="","",COUNTIF('Turn Log'!$B$5:$B$5000,A30))</f>
        <v/>
      </c>
      <c r="H30" s="56">
        <f>IF(A30="","",IFERROR(MINIFS('Turn Log'!$C$5:$C$5000,'Turn Log'!$B$5:$B$5000,A30,'Turn Log'!$Q$5:$Q$5000,"Pass"),""))</f>
        <v/>
      </c>
      <c r="I30" s="56">
        <f>IF(A30="","",IFERROR(MAXIFS('Turn Log'!$C$5:$C$5000,'Turn Log'!$B$5:$B$5000,A30),""))</f>
        <v/>
      </c>
      <c r="J30" s="56">
        <f>IF(A30="","",IFERROR(INDEX('Turn Log'!$Q$5:$Q$5000,MATCH(1,('Turn Log'!$B$5:$B$5000=A30)*('Turn Log'!$C$5:$C$5000=I30),0)),""))</f>
        <v/>
      </c>
      <c r="K30" s="56">
        <f>IF(A30="","",IFERROR(INDEX('Turn Log'!$R$5:$R$5000,MATCH(1,('Turn Log'!$B$5:$B$5000=A30)*('Turn Log'!$C$5:$C$5000=I30),0)),""))</f>
        <v/>
      </c>
      <c r="L30" s="56">
        <f>IF(A30="","",COUNTIFS('Turn Log'!$B$5:$B$5000,A30,'Turn Log'!$X$5:$X$5000,1))</f>
        <v/>
      </c>
      <c r="M30" s="56">
        <f>IF(A30="","",COUNTIFS('Turn Log'!$B$5:$B$5000,A30,'Turn Log'!$Y$5:$Y$5000,1))</f>
        <v/>
      </c>
      <c r="N30" s="56">
        <f>IF(A30="","",COUNTIFS('Turn Log'!$B$5:$B$5000,A30,'Turn Log'!$W$5:$W$5000,1))</f>
        <v/>
      </c>
      <c r="O30" s="56">
        <f>IF(H30="","No","Yes")</f>
        <v/>
      </c>
      <c r="P30" s="56">
        <f>IF(A30="","",COUNTIFS('Stability Checks'!$A$5:$A$2000,A30,'Stability Checks'!$C$5:$C$2000,"Re-execution",'Stability Checks'!$E$5:$E$2000,"Pass"))</f>
        <v/>
      </c>
      <c r="Q30" s="56">
        <f>IF(A30="","",COUNTIFS('Stability Checks'!$A$5:$A$2000,A30,'Stability Checks'!$C$5:$C$2000,"Re-prompt",'Stability Checks'!$E$5:$E$2000,"Pass"))</f>
        <v/>
      </c>
      <c r="R30" s="47">
        <f>IF(A30="","",'Run Plan'!Q30)</f>
        <v/>
      </c>
      <c r="S30" s="50" t="n"/>
    </row>
    <row r="31" ht="15.75" customHeight="1" s="40">
      <c r="A31" s="55">
        <f>IF('Run Plan'!A31="","",'Run Plan'!A31)</f>
        <v/>
      </c>
      <c r="B31" s="55">
        <f>IF(A31="","",'Run Plan'!C31)</f>
        <v/>
      </c>
      <c r="C31" s="55">
        <f>IF(A31="","",'Run Plan'!E31)</f>
        <v/>
      </c>
      <c r="D31" s="54">
        <f>IF(A31="","",'Run Plan'!G31)</f>
        <v/>
      </c>
      <c r="E31" s="47">
        <f>IF(A31="","",'Run Plan'!K31)</f>
        <v/>
      </c>
      <c r="F31" s="47">
        <f>IF(A31="","",'Run Plan'!J31)</f>
        <v/>
      </c>
      <c r="G31" s="56">
        <f>IF(A31="","",COUNTIF('Turn Log'!$B$5:$B$5000,A31))</f>
        <v/>
      </c>
      <c r="H31" s="56">
        <f>IF(A31="","",IFERROR(MINIFS('Turn Log'!$C$5:$C$5000,'Turn Log'!$B$5:$B$5000,A31,'Turn Log'!$Q$5:$Q$5000,"Pass"),""))</f>
        <v/>
      </c>
      <c r="I31" s="56">
        <f>IF(A31="","",IFERROR(MAXIFS('Turn Log'!$C$5:$C$5000,'Turn Log'!$B$5:$B$5000,A31),""))</f>
        <v/>
      </c>
      <c r="J31" s="56">
        <f>IF(A31="","",IFERROR(INDEX('Turn Log'!$Q$5:$Q$5000,MATCH(1,('Turn Log'!$B$5:$B$5000=A31)*('Turn Log'!$C$5:$C$5000=I31),0)),""))</f>
        <v/>
      </c>
      <c r="K31" s="56">
        <f>IF(A31="","",IFERROR(INDEX('Turn Log'!$R$5:$R$5000,MATCH(1,('Turn Log'!$B$5:$B$5000=A31)*('Turn Log'!$C$5:$C$5000=I31),0)),""))</f>
        <v/>
      </c>
      <c r="L31" s="56">
        <f>IF(A31="","",COUNTIFS('Turn Log'!$B$5:$B$5000,A31,'Turn Log'!$X$5:$X$5000,1))</f>
        <v/>
      </c>
      <c r="M31" s="56">
        <f>IF(A31="","",COUNTIFS('Turn Log'!$B$5:$B$5000,A31,'Turn Log'!$Y$5:$Y$5000,1))</f>
        <v/>
      </c>
      <c r="N31" s="56">
        <f>IF(A31="","",COUNTIFS('Turn Log'!$B$5:$B$5000,A31,'Turn Log'!$W$5:$W$5000,1))</f>
        <v/>
      </c>
      <c r="O31" s="56">
        <f>IF(H31="","No","Yes")</f>
        <v/>
      </c>
      <c r="P31" s="56">
        <f>IF(A31="","",COUNTIFS('Stability Checks'!$A$5:$A$2000,A31,'Stability Checks'!$C$5:$C$2000,"Re-execution",'Stability Checks'!$E$5:$E$2000,"Pass"))</f>
        <v/>
      </c>
      <c r="Q31" s="56">
        <f>IF(A31="","",COUNTIFS('Stability Checks'!$A$5:$A$2000,A31,'Stability Checks'!$C$5:$C$2000,"Re-prompt",'Stability Checks'!$E$5:$E$2000,"Pass"))</f>
        <v/>
      </c>
      <c r="R31" s="47">
        <f>IF(A31="","",'Run Plan'!Q31)</f>
        <v/>
      </c>
      <c r="S31" s="50" t="n"/>
    </row>
    <row r="32" ht="15.75" customHeight="1" s="40">
      <c r="A32" s="55">
        <f>IF('Run Plan'!A32="","",'Run Plan'!A32)</f>
        <v/>
      </c>
      <c r="B32" s="55">
        <f>IF(A32="","",'Run Plan'!C32)</f>
        <v/>
      </c>
      <c r="C32" s="55">
        <f>IF(A32="","",'Run Plan'!E32)</f>
        <v/>
      </c>
      <c r="D32" s="54">
        <f>IF(A32="","",'Run Plan'!G32)</f>
        <v/>
      </c>
      <c r="E32" s="47">
        <f>IF(A32="","",'Run Plan'!K32)</f>
        <v/>
      </c>
      <c r="F32" s="47">
        <f>IF(A32="","",'Run Plan'!J32)</f>
        <v/>
      </c>
      <c r="G32" s="56">
        <f>IF(A32="","",COUNTIF('Turn Log'!$B$5:$B$5000,A32))</f>
        <v/>
      </c>
      <c r="H32" s="56">
        <f>IF(A32="","",IFERROR(MINIFS('Turn Log'!$C$5:$C$5000,'Turn Log'!$B$5:$B$5000,A32,'Turn Log'!$Q$5:$Q$5000,"Pass"),""))</f>
        <v/>
      </c>
      <c r="I32" s="56">
        <f>IF(A32="","",IFERROR(MAXIFS('Turn Log'!$C$5:$C$5000,'Turn Log'!$B$5:$B$5000,A32),""))</f>
        <v/>
      </c>
      <c r="J32" s="56">
        <f>IF(A32="","",IFERROR(INDEX('Turn Log'!$Q$5:$Q$5000,MATCH(1,('Turn Log'!$B$5:$B$5000=A32)*('Turn Log'!$C$5:$C$5000=I32),0)),""))</f>
        <v/>
      </c>
      <c r="K32" s="56">
        <f>IF(A32="","",IFERROR(INDEX('Turn Log'!$R$5:$R$5000,MATCH(1,('Turn Log'!$B$5:$B$5000=A32)*('Turn Log'!$C$5:$C$5000=I32),0)),""))</f>
        <v/>
      </c>
      <c r="L32" s="56">
        <f>IF(A32="","",COUNTIFS('Turn Log'!$B$5:$B$5000,A32,'Turn Log'!$X$5:$X$5000,1))</f>
        <v/>
      </c>
      <c r="M32" s="56">
        <f>IF(A32="","",COUNTIFS('Turn Log'!$B$5:$B$5000,A32,'Turn Log'!$Y$5:$Y$5000,1))</f>
        <v/>
      </c>
      <c r="N32" s="56">
        <f>IF(A32="","",COUNTIFS('Turn Log'!$B$5:$B$5000,A32,'Turn Log'!$W$5:$W$5000,1))</f>
        <v/>
      </c>
      <c r="O32" s="56">
        <f>IF(H32="","No","Yes")</f>
        <v/>
      </c>
      <c r="P32" s="56">
        <f>IF(A32="","",COUNTIFS('Stability Checks'!$A$5:$A$2000,A32,'Stability Checks'!$C$5:$C$2000,"Re-execution",'Stability Checks'!$E$5:$E$2000,"Pass"))</f>
        <v/>
      </c>
      <c r="Q32" s="56">
        <f>IF(A32="","",COUNTIFS('Stability Checks'!$A$5:$A$2000,A32,'Stability Checks'!$C$5:$C$2000,"Re-prompt",'Stability Checks'!$E$5:$E$2000,"Pass"))</f>
        <v/>
      </c>
      <c r="R32" s="47">
        <f>IF(A32="","",'Run Plan'!Q32)</f>
        <v/>
      </c>
      <c r="S32" s="50" t="n"/>
    </row>
    <row r="33" ht="15.75" customHeight="1" s="40">
      <c r="A33" s="55">
        <f>IF('Run Plan'!A33="","",'Run Plan'!A33)</f>
        <v/>
      </c>
      <c r="B33" s="55">
        <f>IF(A33="","",'Run Plan'!C33)</f>
        <v/>
      </c>
      <c r="C33" s="55">
        <f>IF(A33="","",'Run Plan'!E33)</f>
        <v/>
      </c>
      <c r="D33" s="54">
        <f>IF(A33="","",'Run Plan'!G33)</f>
        <v/>
      </c>
      <c r="E33" s="47">
        <f>IF(A33="","",'Run Plan'!K33)</f>
        <v/>
      </c>
      <c r="F33" s="47">
        <f>IF(A33="","",'Run Plan'!J33)</f>
        <v/>
      </c>
      <c r="G33" s="56">
        <f>IF(A33="","",COUNTIF('Turn Log'!$B$5:$B$5000,A33))</f>
        <v/>
      </c>
      <c r="H33" s="56">
        <f>IF(A33="","",IFERROR(MINIFS('Turn Log'!$C$5:$C$5000,'Turn Log'!$B$5:$B$5000,A33,'Turn Log'!$Q$5:$Q$5000,"Pass"),""))</f>
        <v/>
      </c>
      <c r="I33" s="56">
        <f>IF(A33="","",IFERROR(MAXIFS('Turn Log'!$C$5:$C$5000,'Turn Log'!$B$5:$B$5000,A33),""))</f>
        <v/>
      </c>
      <c r="J33" s="56">
        <f>IF(A33="","",IFERROR(INDEX('Turn Log'!$Q$5:$Q$5000,MATCH(1,('Turn Log'!$B$5:$B$5000=A33)*('Turn Log'!$C$5:$C$5000=I33),0)),""))</f>
        <v/>
      </c>
      <c r="K33" s="56">
        <f>IF(A33="","",IFERROR(INDEX('Turn Log'!$R$5:$R$5000,MATCH(1,('Turn Log'!$B$5:$B$5000=A33)*('Turn Log'!$C$5:$C$5000=I33),0)),""))</f>
        <v/>
      </c>
      <c r="L33" s="56">
        <f>IF(A33="","",COUNTIFS('Turn Log'!$B$5:$B$5000,A33,'Turn Log'!$X$5:$X$5000,1))</f>
        <v/>
      </c>
      <c r="M33" s="56">
        <f>IF(A33="","",COUNTIFS('Turn Log'!$B$5:$B$5000,A33,'Turn Log'!$Y$5:$Y$5000,1))</f>
        <v/>
      </c>
      <c r="N33" s="56">
        <f>IF(A33="","",COUNTIFS('Turn Log'!$B$5:$B$5000,A33,'Turn Log'!$W$5:$W$5000,1))</f>
        <v/>
      </c>
      <c r="O33" s="56">
        <f>IF(H33="","No","Yes")</f>
        <v/>
      </c>
      <c r="P33" s="56">
        <f>IF(A33="","",COUNTIFS('Stability Checks'!$A$5:$A$2000,A33,'Stability Checks'!$C$5:$C$2000,"Re-execution",'Stability Checks'!$E$5:$E$2000,"Pass"))</f>
        <v/>
      </c>
      <c r="Q33" s="56">
        <f>IF(A33="","",COUNTIFS('Stability Checks'!$A$5:$A$2000,A33,'Stability Checks'!$C$5:$C$2000,"Re-prompt",'Stability Checks'!$E$5:$E$2000,"Pass"))</f>
        <v/>
      </c>
      <c r="R33" s="47">
        <f>IF(A33="","",'Run Plan'!Q33)</f>
        <v/>
      </c>
      <c r="S33" s="50" t="n"/>
    </row>
    <row r="34" ht="15.75" customHeight="1" s="40">
      <c r="A34" s="55">
        <f>IF('Run Plan'!A34="","",'Run Plan'!A34)</f>
        <v/>
      </c>
      <c r="B34" s="55">
        <f>IF(A34="","",'Run Plan'!C34)</f>
        <v/>
      </c>
      <c r="C34" s="55">
        <f>IF(A34="","",'Run Plan'!E34)</f>
        <v/>
      </c>
      <c r="D34" s="54">
        <f>IF(A34="","",'Run Plan'!G34)</f>
        <v/>
      </c>
      <c r="E34" s="47">
        <f>IF(A34="","",'Run Plan'!K34)</f>
        <v/>
      </c>
      <c r="F34" s="47">
        <f>IF(A34="","",'Run Plan'!J34)</f>
        <v/>
      </c>
      <c r="G34" s="56">
        <f>IF(A34="","",COUNTIF('Turn Log'!$B$5:$B$5000,A34))</f>
        <v/>
      </c>
      <c r="H34" s="56">
        <f>IF(A34="","",IFERROR(MINIFS('Turn Log'!$C$5:$C$5000,'Turn Log'!$B$5:$B$5000,A34,'Turn Log'!$Q$5:$Q$5000,"Pass"),""))</f>
        <v/>
      </c>
      <c r="I34" s="56">
        <f>IF(A34="","",IFERROR(MAXIFS('Turn Log'!$C$5:$C$5000,'Turn Log'!$B$5:$B$5000,A34),""))</f>
        <v/>
      </c>
      <c r="J34" s="56">
        <f>IF(A34="","",IFERROR(INDEX('Turn Log'!$Q$5:$Q$5000,MATCH(1,('Turn Log'!$B$5:$B$5000=A34)*('Turn Log'!$C$5:$C$5000=I34),0)),""))</f>
        <v/>
      </c>
      <c r="K34" s="56">
        <f>IF(A34="","",IFERROR(INDEX('Turn Log'!$R$5:$R$5000,MATCH(1,('Turn Log'!$B$5:$B$5000=A34)*('Turn Log'!$C$5:$C$5000=I34),0)),""))</f>
        <v/>
      </c>
      <c r="L34" s="56">
        <f>IF(A34="","",COUNTIFS('Turn Log'!$B$5:$B$5000,A34,'Turn Log'!$X$5:$X$5000,1))</f>
        <v/>
      </c>
      <c r="M34" s="56">
        <f>IF(A34="","",COUNTIFS('Turn Log'!$B$5:$B$5000,A34,'Turn Log'!$Y$5:$Y$5000,1))</f>
        <v/>
      </c>
      <c r="N34" s="56">
        <f>IF(A34="","",COUNTIFS('Turn Log'!$B$5:$B$5000,A34,'Turn Log'!$W$5:$W$5000,1))</f>
        <v/>
      </c>
      <c r="O34" s="56">
        <f>IF(H34="","No","Yes")</f>
        <v/>
      </c>
      <c r="P34" s="56">
        <f>IF(A34="","",COUNTIFS('Stability Checks'!$A$5:$A$2000,A34,'Stability Checks'!$C$5:$C$2000,"Re-execution",'Stability Checks'!$E$5:$E$2000,"Pass"))</f>
        <v/>
      </c>
      <c r="Q34" s="56">
        <f>IF(A34="","",COUNTIFS('Stability Checks'!$A$5:$A$2000,A34,'Stability Checks'!$C$5:$C$2000,"Re-prompt",'Stability Checks'!$E$5:$E$2000,"Pass"))</f>
        <v/>
      </c>
      <c r="R34" s="47">
        <f>IF(A34="","",'Run Plan'!Q34)</f>
        <v/>
      </c>
      <c r="S34" s="50" t="n"/>
    </row>
    <row r="35" ht="15.75" customHeight="1" s="40">
      <c r="A35" s="55">
        <f>IF('Run Plan'!A35="","",'Run Plan'!A35)</f>
        <v/>
      </c>
      <c r="B35" s="55">
        <f>IF(A35="","",'Run Plan'!C35)</f>
        <v/>
      </c>
      <c r="C35" s="55">
        <f>IF(A35="","",'Run Plan'!E35)</f>
        <v/>
      </c>
      <c r="D35" s="54">
        <f>IF(A35="","",'Run Plan'!G35)</f>
        <v/>
      </c>
      <c r="E35" s="47">
        <f>IF(A35="","",'Run Plan'!K35)</f>
        <v/>
      </c>
      <c r="F35" s="47">
        <f>IF(A35="","",'Run Plan'!J35)</f>
        <v/>
      </c>
      <c r="G35" s="56">
        <f>IF(A35="","",COUNTIF('Turn Log'!$B$5:$B$5000,A35))</f>
        <v/>
      </c>
      <c r="H35" s="56">
        <f>IF(A35="","",IFERROR(MINIFS('Turn Log'!$C$5:$C$5000,'Turn Log'!$B$5:$B$5000,A35,'Turn Log'!$Q$5:$Q$5000,"Pass"),""))</f>
        <v/>
      </c>
      <c r="I35" s="56">
        <f>IF(A35="","",IFERROR(MAXIFS('Turn Log'!$C$5:$C$5000,'Turn Log'!$B$5:$B$5000,A35),""))</f>
        <v/>
      </c>
      <c r="J35" s="56">
        <f>IF(A35="","",IFERROR(INDEX('Turn Log'!$Q$5:$Q$5000,MATCH(1,('Turn Log'!$B$5:$B$5000=A35)*('Turn Log'!$C$5:$C$5000=I35),0)),""))</f>
        <v/>
      </c>
      <c r="K35" s="56">
        <f>IF(A35="","",IFERROR(INDEX('Turn Log'!$R$5:$R$5000,MATCH(1,('Turn Log'!$B$5:$B$5000=A35)*('Turn Log'!$C$5:$C$5000=I35),0)),""))</f>
        <v/>
      </c>
      <c r="L35" s="56">
        <f>IF(A35="","",COUNTIFS('Turn Log'!$B$5:$B$5000,A35,'Turn Log'!$X$5:$X$5000,1))</f>
        <v/>
      </c>
      <c r="M35" s="56">
        <f>IF(A35="","",COUNTIFS('Turn Log'!$B$5:$B$5000,A35,'Turn Log'!$Y$5:$Y$5000,1))</f>
        <v/>
      </c>
      <c r="N35" s="56">
        <f>IF(A35="","",COUNTIFS('Turn Log'!$B$5:$B$5000,A35,'Turn Log'!$W$5:$W$5000,1))</f>
        <v/>
      </c>
      <c r="O35" s="56">
        <f>IF(H35="","No","Yes")</f>
        <v/>
      </c>
      <c r="P35" s="56">
        <f>IF(A35="","",COUNTIFS('Stability Checks'!$A$5:$A$2000,A35,'Stability Checks'!$C$5:$C$2000,"Re-execution",'Stability Checks'!$E$5:$E$2000,"Pass"))</f>
        <v/>
      </c>
      <c r="Q35" s="56">
        <f>IF(A35="","",COUNTIFS('Stability Checks'!$A$5:$A$2000,A35,'Stability Checks'!$C$5:$C$2000,"Re-prompt",'Stability Checks'!$E$5:$E$2000,"Pass"))</f>
        <v/>
      </c>
      <c r="R35" s="47">
        <f>IF(A35="","",'Run Plan'!Q35)</f>
        <v/>
      </c>
      <c r="S35" s="50" t="n"/>
    </row>
    <row r="36" ht="15.75" customHeight="1" s="40">
      <c r="A36" s="55">
        <f>IF('Run Plan'!A36="","",'Run Plan'!A36)</f>
        <v/>
      </c>
      <c r="B36" s="55">
        <f>IF(A36="","",'Run Plan'!C36)</f>
        <v/>
      </c>
      <c r="C36" s="55">
        <f>IF(A36="","",'Run Plan'!E36)</f>
        <v/>
      </c>
      <c r="D36" s="54">
        <f>IF(A36="","",'Run Plan'!G36)</f>
        <v/>
      </c>
      <c r="E36" s="47">
        <f>IF(A36="","",'Run Plan'!K36)</f>
        <v/>
      </c>
      <c r="F36" s="47">
        <f>IF(A36="","",'Run Plan'!J36)</f>
        <v/>
      </c>
      <c r="G36" s="56">
        <f>IF(A36="","",COUNTIF('Turn Log'!$B$5:$B$5000,A36))</f>
        <v/>
      </c>
      <c r="H36" s="56">
        <f>IF(A36="","",IFERROR(MINIFS('Turn Log'!$C$5:$C$5000,'Turn Log'!$B$5:$B$5000,A36,'Turn Log'!$Q$5:$Q$5000,"Pass"),""))</f>
        <v/>
      </c>
      <c r="I36" s="56">
        <f>IF(A36="","",IFERROR(MAXIFS('Turn Log'!$C$5:$C$5000,'Turn Log'!$B$5:$B$5000,A36),""))</f>
        <v/>
      </c>
      <c r="J36" s="56">
        <f>IF(A36="","",IFERROR(INDEX('Turn Log'!$Q$5:$Q$5000,MATCH(1,('Turn Log'!$B$5:$B$5000=A36)*('Turn Log'!$C$5:$C$5000=I36),0)),""))</f>
        <v/>
      </c>
      <c r="K36" s="56">
        <f>IF(A36="","",IFERROR(INDEX('Turn Log'!$R$5:$R$5000,MATCH(1,('Turn Log'!$B$5:$B$5000=A36)*('Turn Log'!$C$5:$C$5000=I36),0)),""))</f>
        <v/>
      </c>
      <c r="L36" s="56">
        <f>IF(A36="","",COUNTIFS('Turn Log'!$B$5:$B$5000,A36,'Turn Log'!$X$5:$X$5000,1))</f>
        <v/>
      </c>
      <c r="M36" s="56">
        <f>IF(A36="","",COUNTIFS('Turn Log'!$B$5:$B$5000,A36,'Turn Log'!$Y$5:$Y$5000,1))</f>
        <v/>
      </c>
      <c r="N36" s="56">
        <f>IF(A36="","",COUNTIFS('Turn Log'!$B$5:$B$5000,A36,'Turn Log'!$W$5:$W$5000,1))</f>
        <v/>
      </c>
      <c r="O36" s="56">
        <f>IF(H36="","No","Yes")</f>
        <v/>
      </c>
      <c r="P36" s="56">
        <f>IF(A36="","",COUNTIFS('Stability Checks'!$A$5:$A$2000,A36,'Stability Checks'!$C$5:$C$2000,"Re-execution",'Stability Checks'!$E$5:$E$2000,"Pass"))</f>
        <v/>
      </c>
      <c r="Q36" s="56">
        <f>IF(A36="","",COUNTIFS('Stability Checks'!$A$5:$A$2000,A36,'Stability Checks'!$C$5:$C$2000,"Re-prompt",'Stability Checks'!$E$5:$E$2000,"Pass"))</f>
        <v/>
      </c>
      <c r="R36" s="47">
        <f>IF(A36="","",'Run Plan'!Q36)</f>
        <v/>
      </c>
      <c r="S36" s="50" t="n"/>
    </row>
    <row r="37" ht="15.75" customHeight="1" s="40">
      <c r="A37" s="55">
        <f>IF('Run Plan'!A37="","",'Run Plan'!A37)</f>
        <v/>
      </c>
      <c r="B37" s="55">
        <f>IF(A37="","",'Run Plan'!C37)</f>
        <v/>
      </c>
      <c r="C37" s="55">
        <f>IF(A37="","",'Run Plan'!E37)</f>
        <v/>
      </c>
      <c r="D37" s="54">
        <f>IF(A37="","",'Run Plan'!G37)</f>
        <v/>
      </c>
      <c r="E37" s="47">
        <f>IF(A37="","",'Run Plan'!K37)</f>
        <v/>
      </c>
      <c r="F37" s="47">
        <f>IF(A37="","",'Run Plan'!J37)</f>
        <v/>
      </c>
      <c r="G37" s="56">
        <f>IF(A37="","",COUNTIF('Turn Log'!$B$5:$B$5000,A37))</f>
        <v/>
      </c>
      <c r="H37" s="56">
        <f>IF(A37="","",IFERROR(MINIFS('Turn Log'!$C$5:$C$5000,'Turn Log'!$B$5:$B$5000,A37,'Turn Log'!$Q$5:$Q$5000,"Pass"),""))</f>
        <v/>
      </c>
      <c r="I37" s="56">
        <f>IF(A37="","",IFERROR(MAXIFS('Turn Log'!$C$5:$C$5000,'Turn Log'!$B$5:$B$5000,A37),""))</f>
        <v/>
      </c>
      <c r="J37" s="56">
        <f>IF(A37="","",IFERROR(INDEX('Turn Log'!$Q$5:$Q$5000,MATCH(1,('Turn Log'!$B$5:$B$5000=A37)*('Turn Log'!$C$5:$C$5000=I37),0)),""))</f>
        <v/>
      </c>
      <c r="K37" s="56">
        <f>IF(A37="","",IFERROR(INDEX('Turn Log'!$R$5:$R$5000,MATCH(1,('Turn Log'!$B$5:$B$5000=A37)*('Turn Log'!$C$5:$C$5000=I37),0)),""))</f>
        <v/>
      </c>
      <c r="L37" s="56">
        <f>IF(A37="","",COUNTIFS('Turn Log'!$B$5:$B$5000,A37,'Turn Log'!$X$5:$X$5000,1))</f>
        <v/>
      </c>
      <c r="M37" s="56">
        <f>IF(A37="","",COUNTIFS('Turn Log'!$B$5:$B$5000,A37,'Turn Log'!$Y$5:$Y$5000,1))</f>
        <v/>
      </c>
      <c r="N37" s="56">
        <f>IF(A37="","",COUNTIFS('Turn Log'!$B$5:$B$5000,A37,'Turn Log'!$W$5:$W$5000,1))</f>
        <v/>
      </c>
      <c r="O37" s="56">
        <f>IF(H37="","No","Yes")</f>
        <v/>
      </c>
      <c r="P37" s="56">
        <f>IF(A37="","",COUNTIFS('Stability Checks'!$A$5:$A$2000,A37,'Stability Checks'!$C$5:$C$2000,"Re-execution",'Stability Checks'!$E$5:$E$2000,"Pass"))</f>
        <v/>
      </c>
      <c r="Q37" s="56">
        <f>IF(A37="","",COUNTIFS('Stability Checks'!$A$5:$A$2000,A37,'Stability Checks'!$C$5:$C$2000,"Re-prompt",'Stability Checks'!$E$5:$E$2000,"Pass"))</f>
        <v/>
      </c>
      <c r="R37" s="47">
        <f>IF(A37="","",'Run Plan'!Q37)</f>
        <v/>
      </c>
      <c r="S37" s="50" t="n"/>
    </row>
    <row r="38" ht="15.75" customHeight="1" s="40">
      <c r="A38" s="55">
        <f>IF('Run Plan'!A38="","",'Run Plan'!A38)</f>
        <v/>
      </c>
      <c r="B38" s="55">
        <f>IF(A38="","",'Run Plan'!C38)</f>
        <v/>
      </c>
      <c r="C38" s="55">
        <f>IF(A38="","",'Run Plan'!E38)</f>
        <v/>
      </c>
      <c r="D38" s="54">
        <f>IF(A38="","",'Run Plan'!G38)</f>
        <v/>
      </c>
      <c r="E38" s="47">
        <f>IF(A38="","",'Run Plan'!K38)</f>
        <v/>
      </c>
      <c r="F38" s="47">
        <f>IF(A38="","",'Run Plan'!J38)</f>
        <v/>
      </c>
      <c r="G38" s="56">
        <f>IF(A38="","",COUNTIF('Turn Log'!$B$5:$B$5000,A38))</f>
        <v/>
      </c>
      <c r="H38" s="56">
        <f>IF(A38="","",IFERROR(MINIFS('Turn Log'!$C$5:$C$5000,'Turn Log'!$B$5:$B$5000,A38,'Turn Log'!$Q$5:$Q$5000,"Pass"),""))</f>
        <v/>
      </c>
      <c r="I38" s="56">
        <f>IF(A38="","",IFERROR(MAXIFS('Turn Log'!$C$5:$C$5000,'Turn Log'!$B$5:$B$5000,A38),""))</f>
        <v/>
      </c>
      <c r="J38" s="56">
        <f>IF(A38="","",IFERROR(INDEX('Turn Log'!$Q$5:$Q$5000,MATCH(1,('Turn Log'!$B$5:$B$5000=A38)*('Turn Log'!$C$5:$C$5000=I38),0)),""))</f>
        <v/>
      </c>
      <c r="K38" s="56">
        <f>IF(A38="","",IFERROR(INDEX('Turn Log'!$R$5:$R$5000,MATCH(1,('Turn Log'!$B$5:$B$5000=A38)*('Turn Log'!$C$5:$C$5000=I38),0)),""))</f>
        <v/>
      </c>
      <c r="L38" s="56">
        <f>IF(A38="","",COUNTIFS('Turn Log'!$B$5:$B$5000,A38,'Turn Log'!$X$5:$X$5000,1))</f>
        <v/>
      </c>
      <c r="M38" s="56">
        <f>IF(A38="","",COUNTIFS('Turn Log'!$B$5:$B$5000,A38,'Turn Log'!$Y$5:$Y$5000,1))</f>
        <v/>
      </c>
      <c r="N38" s="56">
        <f>IF(A38="","",COUNTIFS('Turn Log'!$B$5:$B$5000,A38,'Turn Log'!$W$5:$W$5000,1))</f>
        <v/>
      </c>
      <c r="O38" s="56">
        <f>IF(H38="","No","Yes")</f>
        <v/>
      </c>
      <c r="P38" s="56">
        <f>IF(A38="","",COUNTIFS('Stability Checks'!$A$5:$A$2000,A38,'Stability Checks'!$C$5:$C$2000,"Re-execution",'Stability Checks'!$E$5:$E$2000,"Pass"))</f>
        <v/>
      </c>
      <c r="Q38" s="56">
        <f>IF(A38="","",COUNTIFS('Stability Checks'!$A$5:$A$2000,A38,'Stability Checks'!$C$5:$C$2000,"Re-prompt",'Stability Checks'!$E$5:$E$2000,"Pass"))</f>
        <v/>
      </c>
      <c r="R38" s="47">
        <f>IF(A38="","",'Run Plan'!Q38)</f>
        <v/>
      </c>
      <c r="S38" s="50" t="n"/>
    </row>
    <row r="39" ht="15.75" customHeight="1" s="40">
      <c r="A39" s="55">
        <f>IF('Run Plan'!A39="","",'Run Plan'!A39)</f>
        <v/>
      </c>
      <c r="B39" s="55">
        <f>IF(A39="","",'Run Plan'!C39)</f>
        <v/>
      </c>
      <c r="C39" s="55">
        <f>IF(A39="","",'Run Plan'!E39)</f>
        <v/>
      </c>
      <c r="D39" s="54">
        <f>IF(A39="","",'Run Plan'!G39)</f>
        <v/>
      </c>
      <c r="E39" s="47">
        <f>IF(A39="","",'Run Plan'!K39)</f>
        <v/>
      </c>
      <c r="F39" s="47">
        <f>IF(A39="","",'Run Plan'!J39)</f>
        <v/>
      </c>
      <c r="G39" s="56">
        <f>IF(A39="","",COUNTIF('Turn Log'!$B$5:$B$5000,A39))</f>
        <v/>
      </c>
      <c r="H39" s="56">
        <f>IF(A39="","",IFERROR(MINIFS('Turn Log'!$C$5:$C$5000,'Turn Log'!$B$5:$B$5000,A39,'Turn Log'!$Q$5:$Q$5000,"Pass"),""))</f>
        <v/>
      </c>
      <c r="I39" s="56">
        <f>IF(A39="","",IFERROR(MAXIFS('Turn Log'!$C$5:$C$5000,'Turn Log'!$B$5:$B$5000,A39),""))</f>
        <v/>
      </c>
      <c r="J39" s="56">
        <f>IF(A39="","",IFERROR(INDEX('Turn Log'!$Q$5:$Q$5000,MATCH(1,('Turn Log'!$B$5:$B$5000=A39)*('Turn Log'!$C$5:$C$5000=I39),0)),""))</f>
        <v/>
      </c>
      <c r="K39" s="56">
        <f>IF(A39="","",IFERROR(INDEX('Turn Log'!$R$5:$R$5000,MATCH(1,('Turn Log'!$B$5:$B$5000=A39)*('Turn Log'!$C$5:$C$5000=I39),0)),""))</f>
        <v/>
      </c>
      <c r="L39" s="56">
        <f>IF(A39="","",COUNTIFS('Turn Log'!$B$5:$B$5000,A39,'Turn Log'!$X$5:$X$5000,1))</f>
        <v/>
      </c>
      <c r="M39" s="56">
        <f>IF(A39="","",COUNTIFS('Turn Log'!$B$5:$B$5000,A39,'Turn Log'!$Y$5:$Y$5000,1))</f>
        <v/>
      </c>
      <c r="N39" s="56">
        <f>IF(A39="","",COUNTIFS('Turn Log'!$B$5:$B$5000,A39,'Turn Log'!$W$5:$W$5000,1))</f>
        <v/>
      </c>
      <c r="O39" s="56">
        <f>IF(H39="","No","Yes")</f>
        <v/>
      </c>
      <c r="P39" s="56">
        <f>IF(A39="","",COUNTIFS('Stability Checks'!$A$5:$A$2000,A39,'Stability Checks'!$C$5:$C$2000,"Re-execution",'Stability Checks'!$E$5:$E$2000,"Pass"))</f>
        <v/>
      </c>
      <c r="Q39" s="56">
        <f>IF(A39="","",COUNTIFS('Stability Checks'!$A$5:$A$2000,A39,'Stability Checks'!$C$5:$C$2000,"Re-prompt",'Stability Checks'!$E$5:$E$2000,"Pass"))</f>
        <v/>
      </c>
      <c r="R39" s="47">
        <f>IF(A39="","",'Run Plan'!Q39)</f>
        <v/>
      </c>
      <c r="S39" s="50" t="n"/>
    </row>
    <row r="40" ht="15.75" customHeight="1" s="40">
      <c r="A40" s="55">
        <f>IF('Run Plan'!A40="","",'Run Plan'!A40)</f>
        <v/>
      </c>
      <c r="B40" s="55">
        <f>IF(A40="","",'Run Plan'!C40)</f>
        <v/>
      </c>
      <c r="C40" s="55">
        <f>IF(A40="","",'Run Plan'!E40)</f>
        <v/>
      </c>
      <c r="D40" s="54">
        <f>IF(A40="","",'Run Plan'!G40)</f>
        <v/>
      </c>
      <c r="E40" s="47">
        <f>IF(A40="","",'Run Plan'!K40)</f>
        <v/>
      </c>
      <c r="F40" s="47">
        <f>IF(A40="","",'Run Plan'!J40)</f>
        <v/>
      </c>
      <c r="G40" s="56">
        <f>IF(A40="","",COUNTIF('Turn Log'!$B$5:$B$5000,A40))</f>
        <v/>
      </c>
      <c r="H40" s="56">
        <f>IF(A40="","",IFERROR(MINIFS('Turn Log'!$C$5:$C$5000,'Turn Log'!$B$5:$B$5000,A40,'Turn Log'!$Q$5:$Q$5000,"Pass"),""))</f>
        <v/>
      </c>
      <c r="I40" s="56">
        <f>IF(A40="","",IFERROR(MAXIFS('Turn Log'!$C$5:$C$5000,'Turn Log'!$B$5:$B$5000,A40),""))</f>
        <v/>
      </c>
      <c r="J40" s="56">
        <f>IF(A40="","",IFERROR(INDEX('Turn Log'!$Q$5:$Q$5000,MATCH(1,('Turn Log'!$B$5:$B$5000=A40)*('Turn Log'!$C$5:$C$5000=I40),0)),""))</f>
        <v/>
      </c>
      <c r="K40" s="56">
        <f>IF(A40="","",IFERROR(INDEX('Turn Log'!$R$5:$R$5000,MATCH(1,('Turn Log'!$B$5:$B$5000=A40)*('Turn Log'!$C$5:$C$5000=I40),0)),""))</f>
        <v/>
      </c>
      <c r="L40" s="56">
        <f>IF(A40="","",COUNTIFS('Turn Log'!$B$5:$B$5000,A40,'Turn Log'!$X$5:$X$5000,1))</f>
        <v/>
      </c>
      <c r="M40" s="56">
        <f>IF(A40="","",COUNTIFS('Turn Log'!$B$5:$B$5000,A40,'Turn Log'!$Y$5:$Y$5000,1))</f>
        <v/>
      </c>
      <c r="N40" s="56">
        <f>IF(A40="","",COUNTIFS('Turn Log'!$B$5:$B$5000,A40,'Turn Log'!$W$5:$W$5000,1))</f>
        <v/>
      </c>
      <c r="O40" s="56">
        <f>IF(H40="","No","Yes")</f>
        <v/>
      </c>
      <c r="P40" s="56">
        <f>IF(A40="","",COUNTIFS('Stability Checks'!$A$5:$A$2000,A40,'Stability Checks'!$C$5:$C$2000,"Re-execution",'Stability Checks'!$E$5:$E$2000,"Pass"))</f>
        <v/>
      </c>
      <c r="Q40" s="56">
        <f>IF(A40="","",COUNTIFS('Stability Checks'!$A$5:$A$2000,A40,'Stability Checks'!$C$5:$C$2000,"Re-prompt",'Stability Checks'!$E$5:$E$2000,"Pass"))</f>
        <v/>
      </c>
      <c r="R40" s="47">
        <f>IF(A40="","",'Run Plan'!Q40)</f>
        <v/>
      </c>
      <c r="S40" s="50" t="n"/>
    </row>
    <row r="41" ht="15.75" customHeight="1" s="40">
      <c r="A41" s="55">
        <f>IF('Run Plan'!A41="","",'Run Plan'!A41)</f>
        <v/>
      </c>
      <c r="B41" s="55">
        <f>IF(A41="","",'Run Plan'!C41)</f>
        <v/>
      </c>
      <c r="C41" s="55">
        <f>IF(A41="","",'Run Plan'!E41)</f>
        <v/>
      </c>
      <c r="D41" s="54">
        <f>IF(A41="","",'Run Plan'!G41)</f>
        <v/>
      </c>
      <c r="E41" s="47">
        <f>IF(A41="","",'Run Plan'!K41)</f>
        <v/>
      </c>
      <c r="F41" s="47">
        <f>IF(A41="","",'Run Plan'!J41)</f>
        <v/>
      </c>
      <c r="G41" s="56">
        <f>IF(A41="","",COUNTIF('Turn Log'!$B$5:$B$5000,A41))</f>
        <v/>
      </c>
      <c r="H41" s="56">
        <f>IF(A41="","",IFERROR(MINIFS('Turn Log'!$C$5:$C$5000,'Turn Log'!$B$5:$B$5000,A41,'Turn Log'!$Q$5:$Q$5000,"Pass"),""))</f>
        <v/>
      </c>
      <c r="I41" s="56">
        <f>IF(A41="","",IFERROR(MAXIFS('Turn Log'!$C$5:$C$5000,'Turn Log'!$B$5:$B$5000,A41),""))</f>
        <v/>
      </c>
      <c r="J41" s="56">
        <f>IF(A41="","",IFERROR(INDEX('Turn Log'!$Q$5:$Q$5000,MATCH(1,('Turn Log'!$B$5:$B$5000=A41)*('Turn Log'!$C$5:$C$5000=I41),0)),""))</f>
        <v/>
      </c>
      <c r="K41" s="56">
        <f>IF(A41="","",IFERROR(INDEX('Turn Log'!$R$5:$R$5000,MATCH(1,('Turn Log'!$B$5:$B$5000=A41)*('Turn Log'!$C$5:$C$5000=I41),0)),""))</f>
        <v/>
      </c>
      <c r="L41" s="56">
        <f>IF(A41="","",COUNTIFS('Turn Log'!$B$5:$B$5000,A41,'Turn Log'!$X$5:$X$5000,1))</f>
        <v/>
      </c>
      <c r="M41" s="56">
        <f>IF(A41="","",COUNTIFS('Turn Log'!$B$5:$B$5000,A41,'Turn Log'!$Y$5:$Y$5000,1))</f>
        <v/>
      </c>
      <c r="N41" s="56">
        <f>IF(A41="","",COUNTIFS('Turn Log'!$B$5:$B$5000,A41,'Turn Log'!$W$5:$W$5000,1))</f>
        <v/>
      </c>
      <c r="O41" s="56">
        <f>IF(H41="","No","Yes")</f>
        <v/>
      </c>
      <c r="P41" s="56">
        <f>IF(A41="","",COUNTIFS('Stability Checks'!$A$5:$A$2000,A41,'Stability Checks'!$C$5:$C$2000,"Re-execution",'Stability Checks'!$E$5:$E$2000,"Pass"))</f>
        <v/>
      </c>
      <c r="Q41" s="56">
        <f>IF(A41="","",COUNTIFS('Stability Checks'!$A$5:$A$2000,A41,'Stability Checks'!$C$5:$C$2000,"Re-prompt",'Stability Checks'!$E$5:$E$2000,"Pass"))</f>
        <v/>
      </c>
      <c r="R41" s="47">
        <f>IF(A41="","",'Run Plan'!Q41)</f>
        <v/>
      </c>
      <c r="S41" s="50" t="n"/>
    </row>
    <row r="42" ht="15.75" customHeight="1" s="40">
      <c r="A42" s="55">
        <f>IF('Run Plan'!A42="","",'Run Plan'!A42)</f>
        <v/>
      </c>
      <c r="B42" s="55">
        <f>IF(A42="","",'Run Plan'!C42)</f>
        <v/>
      </c>
      <c r="C42" s="55">
        <f>IF(A42="","",'Run Plan'!E42)</f>
        <v/>
      </c>
      <c r="D42" s="54">
        <f>IF(A42="","",'Run Plan'!G42)</f>
        <v/>
      </c>
      <c r="E42" s="47">
        <f>IF(A42="","",'Run Plan'!K42)</f>
        <v/>
      </c>
      <c r="F42" s="47">
        <f>IF(A42="","",'Run Plan'!J42)</f>
        <v/>
      </c>
      <c r="G42" s="56">
        <f>IF(A42="","",COUNTIF('Turn Log'!$B$5:$B$5000,A42))</f>
        <v/>
      </c>
      <c r="H42" s="56">
        <f>IF(A42="","",IFERROR(MINIFS('Turn Log'!$C$5:$C$5000,'Turn Log'!$B$5:$B$5000,A42,'Turn Log'!$Q$5:$Q$5000,"Pass"),""))</f>
        <v/>
      </c>
      <c r="I42" s="56">
        <f>IF(A42="","",IFERROR(MAXIFS('Turn Log'!$C$5:$C$5000,'Turn Log'!$B$5:$B$5000,A42),""))</f>
        <v/>
      </c>
      <c r="J42" s="56">
        <f>IF(A42="","",IFERROR(INDEX('Turn Log'!$Q$5:$Q$5000,MATCH(1,('Turn Log'!$B$5:$B$5000=A42)*('Turn Log'!$C$5:$C$5000=I42),0)),""))</f>
        <v/>
      </c>
      <c r="K42" s="56">
        <f>IF(A42="","",IFERROR(INDEX('Turn Log'!$R$5:$R$5000,MATCH(1,('Turn Log'!$B$5:$B$5000=A42)*('Turn Log'!$C$5:$C$5000=I42),0)),""))</f>
        <v/>
      </c>
      <c r="L42" s="56">
        <f>IF(A42="","",COUNTIFS('Turn Log'!$B$5:$B$5000,A42,'Turn Log'!$X$5:$X$5000,1))</f>
        <v/>
      </c>
      <c r="M42" s="56">
        <f>IF(A42="","",COUNTIFS('Turn Log'!$B$5:$B$5000,A42,'Turn Log'!$Y$5:$Y$5000,1))</f>
        <v/>
      </c>
      <c r="N42" s="56">
        <f>IF(A42="","",COUNTIFS('Turn Log'!$B$5:$B$5000,A42,'Turn Log'!$W$5:$W$5000,1))</f>
        <v/>
      </c>
      <c r="O42" s="56">
        <f>IF(H42="","No","Yes")</f>
        <v/>
      </c>
      <c r="P42" s="56">
        <f>IF(A42="","",COUNTIFS('Stability Checks'!$A$5:$A$2000,A42,'Stability Checks'!$C$5:$C$2000,"Re-execution",'Stability Checks'!$E$5:$E$2000,"Pass"))</f>
        <v/>
      </c>
      <c r="Q42" s="56">
        <f>IF(A42="","",COUNTIFS('Stability Checks'!$A$5:$A$2000,A42,'Stability Checks'!$C$5:$C$2000,"Re-prompt",'Stability Checks'!$E$5:$E$2000,"Pass"))</f>
        <v/>
      </c>
      <c r="R42" s="47">
        <f>IF(A42="","",'Run Plan'!Q42)</f>
        <v/>
      </c>
      <c r="S42" s="50" t="n"/>
    </row>
    <row r="43" ht="15.75" customHeight="1" s="40">
      <c r="A43" s="55">
        <f>IF('Run Plan'!A43="","",'Run Plan'!A43)</f>
        <v/>
      </c>
      <c r="B43" s="55">
        <f>IF(A43="","",'Run Plan'!C43)</f>
        <v/>
      </c>
      <c r="C43" s="55">
        <f>IF(A43="","",'Run Plan'!E43)</f>
        <v/>
      </c>
      <c r="D43" s="54">
        <f>IF(A43="","",'Run Plan'!G43)</f>
        <v/>
      </c>
      <c r="E43" s="47">
        <f>IF(A43="","",'Run Plan'!K43)</f>
        <v/>
      </c>
      <c r="F43" s="47">
        <f>IF(A43="","",'Run Plan'!J43)</f>
        <v/>
      </c>
      <c r="G43" s="56">
        <f>IF(A43="","",COUNTIF('Turn Log'!$B$5:$B$5000,A43))</f>
        <v/>
      </c>
      <c r="H43" s="56">
        <f>IF(A43="","",IFERROR(MINIFS('Turn Log'!$C$5:$C$5000,'Turn Log'!$B$5:$B$5000,A43,'Turn Log'!$Q$5:$Q$5000,"Pass"),""))</f>
        <v/>
      </c>
      <c r="I43" s="56">
        <f>IF(A43="","",IFERROR(MAXIFS('Turn Log'!$C$5:$C$5000,'Turn Log'!$B$5:$B$5000,A43),""))</f>
        <v/>
      </c>
      <c r="J43" s="56">
        <f>IF(A43="","",IFERROR(INDEX('Turn Log'!$Q$5:$Q$5000,MATCH(1,('Turn Log'!$B$5:$B$5000=A43)*('Turn Log'!$C$5:$C$5000=I43),0)),""))</f>
        <v/>
      </c>
      <c r="K43" s="56">
        <f>IF(A43="","",IFERROR(INDEX('Turn Log'!$R$5:$R$5000,MATCH(1,('Turn Log'!$B$5:$B$5000=A43)*('Turn Log'!$C$5:$C$5000=I43),0)),""))</f>
        <v/>
      </c>
      <c r="L43" s="56">
        <f>IF(A43="","",COUNTIFS('Turn Log'!$B$5:$B$5000,A43,'Turn Log'!$X$5:$X$5000,1))</f>
        <v/>
      </c>
      <c r="M43" s="56">
        <f>IF(A43="","",COUNTIFS('Turn Log'!$B$5:$B$5000,A43,'Turn Log'!$Y$5:$Y$5000,1))</f>
        <v/>
      </c>
      <c r="N43" s="56">
        <f>IF(A43="","",COUNTIFS('Turn Log'!$B$5:$B$5000,A43,'Turn Log'!$W$5:$W$5000,1))</f>
        <v/>
      </c>
      <c r="O43" s="56">
        <f>IF(H43="","No","Yes")</f>
        <v/>
      </c>
      <c r="P43" s="56">
        <f>IF(A43="","",COUNTIFS('Stability Checks'!$A$5:$A$2000,A43,'Stability Checks'!$C$5:$C$2000,"Re-execution",'Stability Checks'!$E$5:$E$2000,"Pass"))</f>
        <v/>
      </c>
      <c r="Q43" s="56">
        <f>IF(A43="","",COUNTIFS('Stability Checks'!$A$5:$A$2000,A43,'Stability Checks'!$C$5:$C$2000,"Re-prompt",'Stability Checks'!$E$5:$E$2000,"Pass"))</f>
        <v/>
      </c>
      <c r="R43" s="47">
        <f>IF(A43="","",'Run Plan'!Q43)</f>
        <v/>
      </c>
      <c r="S43" s="50" t="n"/>
    </row>
    <row r="44" ht="15.75" customHeight="1" s="40">
      <c r="A44" s="55">
        <f>IF('Run Plan'!A44="","",'Run Plan'!A44)</f>
        <v/>
      </c>
      <c r="B44" s="55">
        <f>IF(A44="","",'Run Plan'!C44)</f>
        <v/>
      </c>
      <c r="C44" s="55">
        <f>IF(A44="","",'Run Plan'!E44)</f>
        <v/>
      </c>
      <c r="D44" s="54">
        <f>IF(A44="","",'Run Plan'!G44)</f>
        <v/>
      </c>
      <c r="E44" s="47">
        <f>IF(A44="","",'Run Plan'!K44)</f>
        <v/>
      </c>
      <c r="F44" s="47">
        <f>IF(A44="","",'Run Plan'!J44)</f>
        <v/>
      </c>
      <c r="G44" s="56">
        <f>IF(A44="","",COUNTIF('Turn Log'!$B$5:$B$5000,A44))</f>
        <v/>
      </c>
      <c r="H44" s="56">
        <f>IF(A44="","",IFERROR(MINIFS('Turn Log'!$C$5:$C$5000,'Turn Log'!$B$5:$B$5000,A44,'Turn Log'!$Q$5:$Q$5000,"Pass"),""))</f>
        <v/>
      </c>
      <c r="I44" s="56">
        <f>IF(A44="","",IFERROR(MAXIFS('Turn Log'!$C$5:$C$5000,'Turn Log'!$B$5:$B$5000,A44),""))</f>
        <v/>
      </c>
      <c r="J44" s="56">
        <f>IF(A44="","",IFERROR(INDEX('Turn Log'!$Q$5:$Q$5000,MATCH(1,('Turn Log'!$B$5:$B$5000=A44)*('Turn Log'!$C$5:$C$5000=I44),0)),""))</f>
        <v/>
      </c>
      <c r="K44" s="56">
        <f>IF(A44="","",IFERROR(INDEX('Turn Log'!$R$5:$R$5000,MATCH(1,('Turn Log'!$B$5:$B$5000=A44)*('Turn Log'!$C$5:$C$5000=I44),0)),""))</f>
        <v/>
      </c>
      <c r="L44" s="56">
        <f>IF(A44="","",COUNTIFS('Turn Log'!$B$5:$B$5000,A44,'Turn Log'!$X$5:$X$5000,1))</f>
        <v/>
      </c>
      <c r="M44" s="56">
        <f>IF(A44="","",COUNTIFS('Turn Log'!$B$5:$B$5000,A44,'Turn Log'!$Y$5:$Y$5000,1))</f>
        <v/>
      </c>
      <c r="N44" s="56">
        <f>IF(A44="","",COUNTIFS('Turn Log'!$B$5:$B$5000,A44,'Turn Log'!$W$5:$W$5000,1))</f>
        <v/>
      </c>
      <c r="O44" s="56">
        <f>IF(H44="","No","Yes")</f>
        <v/>
      </c>
      <c r="P44" s="56">
        <f>IF(A44="","",COUNTIFS('Stability Checks'!$A$5:$A$2000,A44,'Stability Checks'!$C$5:$C$2000,"Re-execution",'Stability Checks'!$E$5:$E$2000,"Pass"))</f>
        <v/>
      </c>
      <c r="Q44" s="56">
        <f>IF(A44="","",COUNTIFS('Stability Checks'!$A$5:$A$2000,A44,'Stability Checks'!$C$5:$C$2000,"Re-prompt",'Stability Checks'!$E$5:$E$2000,"Pass"))</f>
        <v/>
      </c>
      <c r="R44" s="47">
        <f>IF(A44="","",'Run Plan'!Q44)</f>
        <v/>
      </c>
      <c r="S44" s="50" t="n"/>
    </row>
    <row r="45" ht="15.75" customHeight="1" s="40">
      <c r="A45" s="55">
        <f>IF('Run Plan'!A45="","",'Run Plan'!A45)</f>
        <v/>
      </c>
      <c r="B45" s="55">
        <f>IF(A45="","",'Run Plan'!C45)</f>
        <v/>
      </c>
      <c r="C45" s="55">
        <f>IF(A45="","",'Run Plan'!E45)</f>
        <v/>
      </c>
      <c r="D45" s="54">
        <f>IF(A45="","",'Run Plan'!G45)</f>
        <v/>
      </c>
      <c r="E45" s="47">
        <f>IF(A45="","",'Run Plan'!K45)</f>
        <v/>
      </c>
      <c r="F45" s="47">
        <f>IF(A45="","",'Run Plan'!J45)</f>
        <v/>
      </c>
      <c r="G45" s="56">
        <f>IF(A45="","",COUNTIF('Turn Log'!$B$5:$B$5000,A45))</f>
        <v/>
      </c>
      <c r="H45" s="56">
        <f>IF(A45="","",IFERROR(MINIFS('Turn Log'!$C$5:$C$5000,'Turn Log'!$B$5:$B$5000,A45,'Turn Log'!$Q$5:$Q$5000,"Pass"),""))</f>
        <v/>
      </c>
      <c r="I45" s="56">
        <f>IF(A45="","",IFERROR(MAXIFS('Turn Log'!$C$5:$C$5000,'Turn Log'!$B$5:$B$5000,A45),""))</f>
        <v/>
      </c>
      <c r="J45" s="56">
        <f>IF(A45="","",IFERROR(INDEX('Turn Log'!$Q$5:$Q$5000,MATCH(1,('Turn Log'!$B$5:$B$5000=A45)*('Turn Log'!$C$5:$C$5000=I45),0)),""))</f>
        <v/>
      </c>
      <c r="K45" s="56">
        <f>IF(A45="","",IFERROR(INDEX('Turn Log'!$R$5:$R$5000,MATCH(1,('Turn Log'!$B$5:$B$5000=A45)*('Turn Log'!$C$5:$C$5000=I45),0)),""))</f>
        <v/>
      </c>
      <c r="L45" s="56">
        <f>IF(A45="","",COUNTIFS('Turn Log'!$B$5:$B$5000,A45,'Turn Log'!$X$5:$X$5000,1))</f>
        <v/>
      </c>
      <c r="M45" s="56">
        <f>IF(A45="","",COUNTIFS('Turn Log'!$B$5:$B$5000,A45,'Turn Log'!$Y$5:$Y$5000,1))</f>
        <v/>
      </c>
      <c r="N45" s="56">
        <f>IF(A45="","",COUNTIFS('Turn Log'!$B$5:$B$5000,A45,'Turn Log'!$W$5:$W$5000,1))</f>
        <v/>
      </c>
      <c r="O45" s="56">
        <f>IF(H45="","No","Yes")</f>
        <v/>
      </c>
      <c r="P45" s="56">
        <f>IF(A45="","",COUNTIFS('Stability Checks'!$A$5:$A$2000,A45,'Stability Checks'!$C$5:$C$2000,"Re-execution",'Stability Checks'!$E$5:$E$2000,"Pass"))</f>
        <v/>
      </c>
      <c r="Q45" s="56">
        <f>IF(A45="","",COUNTIFS('Stability Checks'!$A$5:$A$2000,A45,'Stability Checks'!$C$5:$C$2000,"Re-prompt",'Stability Checks'!$E$5:$E$2000,"Pass"))</f>
        <v/>
      </c>
      <c r="R45" s="47">
        <f>IF(A45="","",'Run Plan'!Q45)</f>
        <v/>
      </c>
      <c r="S45" s="50" t="n"/>
    </row>
    <row r="46" ht="15.75" customHeight="1" s="40">
      <c r="A46" s="55">
        <f>IF('Run Plan'!A46="","",'Run Plan'!A46)</f>
        <v/>
      </c>
      <c r="B46" s="55">
        <f>IF(A46="","",'Run Plan'!C46)</f>
        <v/>
      </c>
      <c r="C46" s="55">
        <f>IF(A46="","",'Run Plan'!E46)</f>
        <v/>
      </c>
      <c r="D46" s="54">
        <f>IF(A46="","",'Run Plan'!G46)</f>
        <v/>
      </c>
      <c r="E46" s="47">
        <f>IF(A46="","",'Run Plan'!K46)</f>
        <v/>
      </c>
      <c r="F46" s="47">
        <f>IF(A46="","",'Run Plan'!J46)</f>
        <v/>
      </c>
      <c r="G46" s="56">
        <f>IF(A46="","",COUNTIF('Turn Log'!$B$5:$B$5000,A46))</f>
        <v/>
      </c>
      <c r="H46" s="56">
        <f>IF(A46="","",IFERROR(MINIFS('Turn Log'!$C$5:$C$5000,'Turn Log'!$B$5:$B$5000,A46,'Turn Log'!$Q$5:$Q$5000,"Pass"),""))</f>
        <v/>
      </c>
      <c r="I46" s="56">
        <f>IF(A46="","",IFERROR(MAXIFS('Turn Log'!$C$5:$C$5000,'Turn Log'!$B$5:$B$5000,A46),""))</f>
        <v/>
      </c>
      <c r="J46" s="56">
        <f>IF(A46="","",IFERROR(INDEX('Turn Log'!$Q$5:$Q$5000,MATCH(1,('Turn Log'!$B$5:$B$5000=A46)*('Turn Log'!$C$5:$C$5000=I46),0)),""))</f>
        <v/>
      </c>
      <c r="K46" s="56">
        <f>IF(A46="","",IFERROR(INDEX('Turn Log'!$R$5:$R$5000,MATCH(1,('Turn Log'!$B$5:$B$5000=A46)*('Turn Log'!$C$5:$C$5000=I46),0)),""))</f>
        <v/>
      </c>
      <c r="L46" s="56">
        <f>IF(A46="","",COUNTIFS('Turn Log'!$B$5:$B$5000,A46,'Turn Log'!$X$5:$X$5000,1))</f>
        <v/>
      </c>
      <c r="M46" s="56">
        <f>IF(A46="","",COUNTIFS('Turn Log'!$B$5:$B$5000,A46,'Turn Log'!$Y$5:$Y$5000,1))</f>
        <v/>
      </c>
      <c r="N46" s="56">
        <f>IF(A46="","",COUNTIFS('Turn Log'!$B$5:$B$5000,A46,'Turn Log'!$W$5:$W$5000,1))</f>
        <v/>
      </c>
      <c r="O46" s="56">
        <f>IF(H46="","No","Yes")</f>
        <v/>
      </c>
      <c r="P46" s="56">
        <f>IF(A46="","",COUNTIFS('Stability Checks'!$A$5:$A$2000,A46,'Stability Checks'!$C$5:$C$2000,"Re-execution",'Stability Checks'!$E$5:$E$2000,"Pass"))</f>
        <v/>
      </c>
      <c r="Q46" s="56">
        <f>IF(A46="","",COUNTIFS('Stability Checks'!$A$5:$A$2000,A46,'Stability Checks'!$C$5:$C$2000,"Re-prompt",'Stability Checks'!$E$5:$E$2000,"Pass"))</f>
        <v/>
      </c>
      <c r="R46" s="47">
        <f>IF(A46="","",'Run Plan'!Q46)</f>
        <v/>
      </c>
      <c r="S46" s="50" t="n"/>
    </row>
    <row r="47" ht="15.75" customHeight="1" s="40">
      <c r="A47" s="55">
        <f>IF('Run Plan'!A47="","",'Run Plan'!A47)</f>
        <v/>
      </c>
      <c r="B47" s="55">
        <f>IF(A47="","",'Run Plan'!C47)</f>
        <v/>
      </c>
      <c r="C47" s="55">
        <f>IF(A47="","",'Run Plan'!E47)</f>
        <v/>
      </c>
      <c r="D47" s="54">
        <f>IF(A47="","",'Run Plan'!G47)</f>
        <v/>
      </c>
      <c r="E47" s="47">
        <f>IF(A47="","",'Run Plan'!K47)</f>
        <v/>
      </c>
      <c r="F47" s="47">
        <f>IF(A47="","",'Run Plan'!J47)</f>
        <v/>
      </c>
      <c r="G47" s="56">
        <f>IF(A47="","",COUNTIF('Turn Log'!$B$5:$B$5000,A47))</f>
        <v/>
      </c>
      <c r="H47" s="56">
        <f>IF(A47="","",IFERROR(MINIFS('Turn Log'!$C$5:$C$5000,'Turn Log'!$B$5:$B$5000,A47,'Turn Log'!$Q$5:$Q$5000,"Pass"),""))</f>
        <v/>
      </c>
      <c r="I47" s="56">
        <f>IF(A47="","",IFERROR(MAXIFS('Turn Log'!$C$5:$C$5000,'Turn Log'!$B$5:$B$5000,A47),""))</f>
        <v/>
      </c>
      <c r="J47" s="56">
        <f>IF(A47="","",IFERROR(INDEX('Turn Log'!$Q$5:$Q$5000,MATCH(1,('Turn Log'!$B$5:$B$5000=A47)*('Turn Log'!$C$5:$C$5000=I47),0)),""))</f>
        <v/>
      </c>
      <c r="K47" s="56">
        <f>IF(A47="","",IFERROR(INDEX('Turn Log'!$R$5:$R$5000,MATCH(1,('Turn Log'!$B$5:$B$5000=A47)*('Turn Log'!$C$5:$C$5000=I47),0)),""))</f>
        <v/>
      </c>
      <c r="L47" s="56">
        <f>IF(A47="","",COUNTIFS('Turn Log'!$B$5:$B$5000,A47,'Turn Log'!$X$5:$X$5000,1))</f>
        <v/>
      </c>
      <c r="M47" s="56">
        <f>IF(A47="","",COUNTIFS('Turn Log'!$B$5:$B$5000,A47,'Turn Log'!$Y$5:$Y$5000,1))</f>
        <v/>
      </c>
      <c r="N47" s="56">
        <f>IF(A47="","",COUNTIFS('Turn Log'!$B$5:$B$5000,A47,'Turn Log'!$W$5:$W$5000,1))</f>
        <v/>
      </c>
      <c r="O47" s="56">
        <f>IF(H47="","No","Yes")</f>
        <v/>
      </c>
      <c r="P47" s="56">
        <f>IF(A47="","",COUNTIFS('Stability Checks'!$A$5:$A$2000,A47,'Stability Checks'!$C$5:$C$2000,"Re-execution",'Stability Checks'!$E$5:$E$2000,"Pass"))</f>
        <v/>
      </c>
      <c r="Q47" s="56">
        <f>IF(A47="","",COUNTIFS('Stability Checks'!$A$5:$A$2000,A47,'Stability Checks'!$C$5:$C$2000,"Re-prompt",'Stability Checks'!$E$5:$E$2000,"Pass"))</f>
        <v/>
      </c>
      <c r="R47" s="47">
        <f>IF(A47="","",'Run Plan'!Q47)</f>
        <v/>
      </c>
      <c r="S47" s="50" t="n"/>
    </row>
    <row r="48" ht="15.75" customHeight="1" s="40">
      <c r="A48" s="55">
        <f>IF('Run Plan'!A48="","",'Run Plan'!A48)</f>
        <v/>
      </c>
      <c r="B48" s="55">
        <f>IF(A48="","",'Run Plan'!C48)</f>
        <v/>
      </c>
      <c r="C48" s="55">
        <f>IF(A48="","",'Run Plan'!E48)</f>
        <v/>
      </c>
      <c r="D48" s="54">
        <f>IF(A48="","",'Run Plan'!G48)</f>
        <v/>
      </c>
      <c r="E48" s="47">
        <f>IF(A48="","",'Run Plan'!K48)</f>
        <v/>
      </c>
      <c r="F48" s="47">
        <f>IF(A48="","",'Run Plan'!J48)</f>
        <v/>
      </c>
      <c r="G48" s="56">
        <f>IF(A48="","",COUNTIF('Turn Log'!$B$5:$B$5000,A48))</f>
        <v/>
      </c>
      <c r="H48" s="56">
        <f>IF(A48="","",IFERROR(MINIFS('Turn Log'!$C$5:$C$5000,'Turn Log'!$B$5:$B$5000,A48,'Turn Log'!$Q$5:$Q$5000,"Pass"),""))</f>
        <v/>
      </c>
      <c r="I48" s="56">
        <f>IF(A48="","",IFERROR(MAXIFS('Turn Log'!$C$5:$C$5000,'Turn Log'!$B$5:$B$5000,A48),""))</f>
        <v/>
      </c>
      <c r="J48" s="56">
        <f>IF(A48="","",IFERROR(INDEX('Turn Log'!$Q$5:$Q$5000,MATCH(1,('Turn Log'!$B$5:$B$5000=A48)*('Turn Log'!$C$5:$C$5000=I48),0)),""))</f>
        <v/>
      </c>
      <c r="K48" s="56">
        <f>IF(A48="","",IFERROR(INDEX('Turn Log'!$R$5:$R$5000,MATCH(1,('Turn Log'!$B$5:$B$5000=A48)*('Turn Log'!$C$5:$C$5000=I48),0)),""))</f>
        <v/>
      </c>
      <c r="L48" s="56">
        <f>IF(A48="","",COUNTIFS('Turn Log'!$B$5:$B$5000,A48,'Turn Log'!$X$5:$X$5000,1))</f>
        <v/>
      </c>
      <c r="M48" s="56">
        <f>IF(A48="","",COUNTIFS('Turn Log'!$B$5:$B$5000,A48,'Turn Log'!$Y$5:$Y$5000,1))</f>
        <v/>
      </c>
      <c r="N48" s="56">
        <f>IF(A48="","",COUNTIFS('Turn Log'!$B$5:$B$5000,A48,'Turn Log'!$W$5:$W$5000,1))</f>
        <v/>
      </c>
      <c r="O48" s="56">
        <f>IF(H48="","No","Yes")</f>
        <v/>
      </c>
      <c r="P48" s="56">
        <f>IF(A48="","",COUNTIFS('Stability Checks'!$A$5:$A$2000,A48,'Stability Checks'!$C$5:$C$2000,"Re-execution",'Stability Checks'!$E$5:$E$2000,"Pass"))</f>
        <v/>
      </c>
      <c r="Q48" s="56">
        <f>IF(A48="","",COUNTIFS('Stability Checks'!$A$5:$A$2000,A48,'Stability Checks'!$C$5:$C$2000,"Re-prompt",'Stability Checks'!$E$5:$E$2000,"Pass"))</f>
        <v/>
      </c>
      <c r="R48" s="47">
        <f>IF(A48="","",'Run Plan'!Q48)</f>
        <v/>
      </c>
      <c r="S48" s="50" t="n"/>
    </row>
    <row r="49" ht="15.75" customHeight="1" s="40">
      <c r="A49" s="55">
        <f>IF('Run Plan'!A49="","",'Run Plan'!A49)</f>
        <v/>
      </c>
      <c r="B49" s="55">
        <f>IF(A49="","",'Run Plan'!C49)</f>
        <v/>
      </c>
      <c r="C49" s="55">
        <f>IF(A49="","",'Run Plan'!E49)</f>
        <v/>
      </c>
      <c r="D49" s="54">
        <f>IF(A49="","",'Run Plan'!G49)</f>
        <v/>
      </c>
      <c r="E49" s="47">
        <f>IF(A49="","",'Run Plan'!K49)</f>
        <v/>
      </c>
      <c r="F49" s="47">
        <f>IF(A49="","",'Run Plan'!J49)</f>
        <v/>
      </c>
      <c r="G49" s="56">
        <f>IF(A49="","",COUNTIF('Turn Log'!$B$5:$B$5000,A49))</f>
        <v/>
      </c>
      <c r="H49" s="56">
        <f>IF(A49="","",IFERROR(MINIFS('Turn Log'!$C$5:$C$5000,'Turn Log'!$B$5:$B$5000,A49,'Turn Log'!$Q$5:$Q$5000,"Pass"),""))</f>
        <v/>
      </c>
      <c r="I49" s="56">
        <f>IF(A49="","",IFERROR(MAXIFS('Turn Log'!$C$5:$C$5000,'Turn Log'!$B$5:$B$5000,A49),""))</f>
        <v/>
      </c>
      <c r="J49" s="56">
        <f>IF(A49="","",IFERROR(INDEX('Turn Log'!$Q$5:$Q$5000,MATCH(1,('Turn Log'!$B$5:$B$5000=A49)*('Turn Log'!$C$5:$C$5000=I49),0)),""))</f>
        <v/>
      </c>
      <c r="K49" s="56">
        <f>IF(A49="","",IFERROR(INDEX('Turn Log'!$R$5:$R$5000,MATCH(1,('Turn Log'!$B$5:$B$5000=A49)*('Turn Log'!$C$5:$C$5000=I49),0)),""))</f>
        <v/>
      </c>
      <c r="L49" s="56">
        <f>IF(A49="","",COUNTIFS('Turn Log'!$B$5:$B$5000,A49,'Turn Log'!$X$5:$X$5000,1))</f>
        <v/>
      </c>
      <c r="M49" s="56">
        <f>IF(A49="","",COUNTIFS('Turn Log'!$B$5:$B$5000,A49,'Turn Log'!$Y$5:$Y$5000,1))</f>
        <v/>
      </c>
      <c r="N49" s="56">
        <f>IF(A49="","",COUNTIFS('Turn Log'!$B$5:$B$5000,A49,'Turn Log'!$W$5:$W$5000,1))</f>
        <v/>
      </c>
      <c r="O49" s="56">
        <f>IF(H49="","No","Yes")</f>
        <v/>
      </c>
      <c r="P49" s="56">
        <f>IF(A49="","",COUNTIFS('Stability Checks'!$A$5:$A$2000,A49,'Stability Checks'!$C$5:$C$2000,"Re-execution",'Stability Checks'!$E$5:$E$2000,"Pass"))</f>
        <v/>
      </c>
      <c r="Q49" s="56">
        <f>IF(A49="","",COUNTIFS('Stability Checks'!$A$5:$A$2000,A49,'Stability Checks'!$C$5:$C$2000,"Re-prompt",'Stability Checks'!$E$5:$E$2000,"Pass"))</f>
        <v/>
      </c>
      <c r="R49" s="47">
        <f>IF(A49="","",'Run Plan'!Q49)</f>
        <v/>
      </c>
      <c r="S49" s="50" t="n"/>
    </row>
    <row r="50" ht="15.75" customHeight="1" s="40">
      <c r="A50" s="55">
        <f>IF('Run Plan'!A50="","",'Run Plan'!A50)</f>
        <v/>
      </c>
      <c r="B50" s="55">
        <f>IF(A50="","",'Run Plan'!C50)</f>
        <v/>
      </c>
      <c r="C50" s="55">
        <f>IF(A50="","",'Run Plan'!E50)</f>
        <v/>
      </c>
      <c r="D50" s="54">
        <f>IF(A50="","",'Run Plan'!G50)</f>
        <v/>
      </c>
      <c r="E50" s="47">
        <f>IF(A50="","",'Run Plan'!K50)</f>
        <v/>
      </c>
      <c r="F50" s="47">
        <f>IF(A50="","",'Run Plan'!J50)</f>
        <v/>
      </c>
      <c r="G50" s="56">
        <f>IF(A50="","",COUNTIF('Turn Log'!$B$5:$B$5000,A50))</f>
        <v/>
      </c>
      <c r="H50" s="56">
        <f>IF(A50="","",IFERROR(MINIFS('Turn Log'!$C$5:$C$5000,'Turn Log'!$B$5:$B$5000,A50,'Turn Log'!$Q$5:$Q$5000,"Pass"),""))</f>
        <v/>
      </c>
      <c r="I50" s="56">
        <f>IF(A50="","",IFERROR(MAXIFS('Turn Log'!$C$5:$C$5000,'Turn Log'!$B$5:$B$5000,A50),""))</f>
        <v/>
      </c>
      <c r="J50" s="56">
        <f>IF(A50="","",IFERROR(INDEX('Turn Log'!$Q$5:$Q$5000,MATCH(1,('Turn Log'!$B$5:$B$5000=A50)*('Turn Log'!$C$5:$C$5000=I50),0)),""))</f>
        <v/>
      </c>
      <c r="K50" s="56">
        <f>IF(A50="","",IFERROR(INDEX('Turn Log'!$R$5:$R$5000,MATCH(1,('Turn Log'!$B$5:$B$5000=A50)*('Turn Log'!$C$5:$C$5000=I50),0)),""))</f>
        <v/>
      </c>
      <c r="L50" s="56">
        <f>IF(A50="","",COUNTIFS('Turn Log'!$B$5:$B$5000,A50,'Turn Log'!$X$5:$X$5000,1))</f>
        <v/>
      </c>
      <c r="M50" s="56">
        <f>IF(A50="","",COUNTIFS('Turn Log'!$B$5:$B$5000,A50,'Turn Log'!$Y$5:$Y$5000,1))</f>
        <v/>
      </c>
      <c r="N50" s="56">
        <f>IF(A50="","",COUNTIFS('Turn Log'!$B$5:$B$5000,A50,'Turn Log'!$W$5:$W$5000,1))</f>
        <v/>
      </c>
      <c r="O50" s="56">
        <f>IF(H50="","No","Yes")</f>
        <v/>
      </c>
      <c r="P50" s="56">
        <f>IF(A50="","",COUNTIFS('Stability Checks'!$A$5:$A$2000,A50,'Stability Checks'!$C$5:$C$2000,"Re-execution",'Stability Checks'!$E$5:$E$2000,"Pass"))</f>
        <v/>
      </c>
      <c r="Q50" s="56">
        <f>IF(A50="","",COUNTIFS('Stability Checks'!$A$5:$A$2000,A50,'Stability Checks'!$C$5:$C$2000,"Re-prompt",'Stability Checks'!$E$5:$E$2000,"Pass"))</f>
        <v/>
      </c>
      <c r="R50" s="47">
        <f>IF(A50="","",'Run Plan'!Q50)</f>
        <v/>
      </c>
      <c r="S50" s="50" t="n"/>
    </row>
    <row r="51" ht="15.75" customHeight="1" s="40">
      <c r="A51" s="55">
        <f>IF('Run Plan'!A51="","",'Run Plan'!A51)</f>
        <v/>
      </c>
      <c r="B51" s="55">
        <f>IF(A51="","",'Run Plan'!C51)</f>
        <v/>
      </c>
      <c r="C51" s="55">
        <f>IF(A51="","",'Run Plan'!E51)</f>
        <v/>
      </c>
      <c r="D51" s="54">
        <f>IF(A51="","",'Run Plan'!G51)</f>
        <v/>
      </c>
      <c r="E51" s="47">
        <f>IF(A51="","",'Run Plan'!K51)</f>
        <v/>
      </c>
      <c r="F51" s="47">
        <f>IF(A51="","",'Run Plan'!J51)</f>
        <v/>
      </c>
      <c r="G51" s="56">
        <f>IF(A51="","",COUNTIF('Turn Log'!$B$5:$B$5000,A51))</f>
        <v/>
      </c>
      <c r="H51" s="56">
        <f>IF(A51="","",IFERROR(MINIFS('Turn Log'!$C$5:$C$5000,'Turn Log'!$B$5:$B$5000,A51,'Turn Log'!$Q$5:$Q$5000,"Pass"),""))</f>
        <v/>
      </c>
      <c r="I51" s="56">
        <f>IF(A51="","",IFERROR(MAXIFS('Turn Log'!$C$5:$C$5000,'Turn Log'!$B$5:$B$5000,A51),""))</f>
        <v/>
      </c>
      <c r="J51" s="56">
        <f>IF(A51="","",IFERROR(INDEX('Turn Log'!$Q$5:$Q$5000,MATCH(1,('Turn Log'!$B$5:$B$5000=A51)*('Turn Log'!$C$5:$C$5000=I51),0)),""))</f>
        <v/>
      </c>
      <c r="K51" s="56">
        <f>IF(A51="","",IFERROR(INDEX('Turn Log'!$R$5:$R$5000,MATCH(1,('Turn Log'!$B$5:$B$5000=A51)*('Turn Log'!$C$5:$C$5000=I51),0)),""))</f>
        <v/>
      </c>
      <c r="L51" s="56">
        <f>IF(A51="","",COUNTIFS('Turn Log'!$B$5:$B$5000,A51,'Turn Log'!$X$5:$X$5000,1))</f>
        <v/>
      </c>
      <c r="M51" s="56">
        <f>IF(A51="","",COUNTIFS('Turn Log'!$B$5:$B$5000,A51,'Turn Log'!$Y$5:$Y$5000,1))</f>
        <v/>
      </c>
      <c r="N51" s="56">
        <f>IF(A51="","",COUNTIFS('Turn Log'!$B$5:$B$5000,A51,'Turn Log'!$W$5:$W$5000,1))</f>
        <v/>
      </c>
      <c r="O51" s="56">
        <f>IF(H51="","No","Yes")</f>
        <v/>
      </c>
      <c r="P51" s="56">
        <f>IF(A51="","",COUNTIFS('Stability Checks'!$A$5:$A$2000,A51,'Stability Checks'!$C$5:$C$2000,"Re-execution",'Stability Checks'!$E$5:$E$2000,"Pass"))</f>
        <v/>
      </c>
      <c r="Q51" s="56">
        <f>IF(A51="","",COUNTIFS('Stability Checks'!$A$5:$A$2000,A51,'Stability Checks'!$C$5:$C$2000,"Re-prompt",'Stability Checks'!$E$5:$E$2000,"Pass"))</f>
        <v/>
      </c>
      <c r="R51" s="47">
        <f>IF(A51="","",'Run Plan'!Q51)</f>
        <v/>
      </c>
      <c r="S51" s="50" t="n"/>
    </row>
    <row r="52" ht="15.75" customHeight="1" s="40">
      <c r="A52" s="55">
        <f>IF('Run Plan'!A52="","",'Run Plan'!A52)</f>
        <v/>
      </c>
      <c r="B52" s="55">
        <f>IF(A52="","",'Run Plan'!C52)</f>
        <v/>
      </c>
      <c r="C52" s="55">
        <f>IF(A52="","",'Run Plan'!E52)</f>
        <v/>
      </c>
      <c r="D52" s="54">
        <f>IF(A52="","",'Run Plan'!G52)</f>
        <v/>
      </c>
      <c r="E52" s="47">
        <f>IF(A52="","",'Run Plan'!K52)</f>
        <v/>
      </c>
      <c r="F52" s="47">
        <f>IF(A52="","",'Run Plan'!J52)</f>
        <v/>
      </c>
      <c r="G52" s="56">
        <f>IF(A52="","",COUNTIF('Turn Log'!$B$5:$B$5000,A52))</f>
        <v/>
      </c>
      <c r="H52" s="56">
        <f>IF(A52="","",IFERROR(MINIFS('Turn Log'!$C$5:$C$5000,'Turn Log'!$B$5:$B$5000,A52,'Turn Log'!$Q$5:$Q$5000,"Pass"),""))</f>
        <v/>
      </c>
      <c r="I52" s="56">
        <f>IF(A52="","",IFERROR(MAXIFS('Turn Log'!$C$5:$C$5000,'Turn Log'!$B$5:$B$5000,A52),""))</f>
        <v/>
      </c>
      <c r="J52" s="56">
        <f>IF(A52="","",IFERROR(INDEX('Turn Log'!$Q$5:$Q$5000,MATCH(1,('Turn Log'!$B$5:$B$5000=A52)*('Turn Log'!$C$5:$C$5000=I52),0)),""))</f>
        <v/>
      </c>
      <c r="K52" s="56">
        <f>IF(A52="","",IFERROR(INDEX('Turn Log'!$R$5:$R$5000,MATCH(1,('Turn Log'!$B$5:$B$5000=A52)*('Turn Log'!$C$5:$C$5000=I52),0)),""))</f>
        <v/>
      </c>
      <c r="L52" s="56">
        <f>IF(A52="","",COUNTIFS('Turn Log'!$B$5:$B$5000,A52,'Turn Log'!$X$5:$X$5000,1))</f>
        <v/>
      </c>
      <c r="M52" s="56">
        <f>IF(A52="","",COUNTIFS('Turn Log'!$B$5:$B$5000,A52,'Turn Log'!$Y$5:$Y$5000,1))</f>
        <v/>
      </c>
      <c r="N52" s="56">
        <f>IF(A52="","",COUNTIFS('Turn Log'!$B$5:$B$5000,A52,'Turn Log'!$W$5:$W$5000,1))</f>
        <v/>
      </c>
      <c r="O52" s="56">
        <f>IF(H52="","No","Yes")</f>
        <v/>
      </c>
      <c r="P52" s="56">
        <f>IF(A52="","",COUNTIFS('Stability Checks'!$A$5:$A$2000,A52,'Stability Checks'!$C$5:$C$2000,"Re-execution",'Stability Checks'!$E$5:$E$2000,"Pass"))</f>
        <v/>
      </c>
      <c r="Q52" s="56">
        <f>IF(A52="","",COUNTIFS('Stability Checks'!$A$5:$A$2000,A52,'Stability Checks'!$C$5:$C$2000,"Re-prompt",'Stability Checks'!$E$5:$E$2000,"Pass"))</f>
        <v/>
      </c>
      <c r="R52" s="47">
        <f>IF(A52="","",'Run Plan'!Q52)</f>
        <v/>
      </c>
      <c r="S52" s="50" t="n"/>
    </row>
    <row r="53" ht="15.75" customHeight="1" s="40">
      <c r="A53" s="55">
        <f>IF('Run Plan'!A53="","",'Run Plan'!A53)</f>
        <v/>
      </c>
      <c r="B53" s="55">
        <f>IF(A53="","",'Run Plan'!C53)</f>
        <v/>
      </c>
      <c r="C53" s="55">
        <f>IF(A53="","",'Run Plan'!E53)</f>
        <v/>
      </c>
      <c r="D53" s="54">
        <f>IF(A53="","",'Run Plan'!G53)</f>
        <v/>
      </c>
      <c r="E53" s="47">
        <f>IF(A53="","",'Run Plan'!K53)</f>
        <v/>
      </c>
      <c r="F53" s="47">
        <f>IF(A53="","",'Run Plan'!J53)</f>
        <v/>
      </c>
      <c r="G53" s="56">
        <f>IF(A53="","",COUNTIF('Turn Log'!$B$5:$B$5000,A53))</f>
        <v/>
      </c>
      <c r="H53" s="56">
        <f>IF(A53="","",IFERROR(MINIFS('Turn Log'!$C$5:$C$5000,'Turn Log'!$B$5:$B$5000,A53,'Turn Log'!$Q$5:$Q$5000,"Pass"),""))</f>
        <v/>
      </c>
      <c r="I53" s="56">
        <f>IF(A53="","",IFERROR(MAXIFS('Turn Log'!$C$5:$C$5000,'Turn Log'!$B$5:$B$5000,A53),""))</f>
        <v/>
      </c>
      <c r="J53" s="56">
        <f>IF(A53="","",IFERROR(INDEX('Turn Log'!$Q$5:$Q$5000,MATCH(1,('Turn Log'!$B$5:$B$5000=A53)*('Turn Log'!$C$5:$C$5000=I53),0)),""))</f>
        <v/>
      </c>
      <c r="K53" s="56">
        <f>IF(A53="","",IFERROR(INDEX('Turn Log'!$R$5:$R$5000,MATCH(1,('Turn Log'!$B$5:$B$5000=A53)*('Turn Log'!$C$5:$C$5000=I53),0)),""))</f>
        <v/>
      </c>
      <c r="L53" s="56">
        <f>IF(A53="","",COUNTIFS('Turn Log'!$B$5:$B$5000,A53,'Turn Log'!$X$5:$X$5000,1))</f>
        <v/>
      </c>
      <c r="M53" s="56">
        <f>IF(A53="","",COUNTIFS('Turn Log'!$B$5:$B$5000,A53,'Turn Log'!$Y$5:$Y$5000,1))</f>
        <v/>
      </c>
      <c r="N53" s="56">
        <f>IF(A53="","",COUNTIFS('Turn Log'!$B$5:$B$5000,A53,'Turn Log'!$W$5:$W$5000,1))</f>
        <v/>
      </c>
      <c r="O53" s="56">
        <f>IF(H53="","No","Yes")</f>
        <v/>
      </c>
      <c r="P53" s="56">
        <f>IF(A53="","",COUNTIFS('Stability Checks'!$A$5:$A$2000,A53,'Stability Checks'!$C$5:$C$2000,"Re-execution",'Stability Checks'!$E$5:$E$2000,"Pass"))</f>
        <v/>
      </c>
      <c r="Q53" s="56">
        <f>IF(A53="","",COUNTIFS('Stability Checks'!$A$5:$A$2000,A53,'Stability Checks'!$C$5:$C$2000,"Re-prompt",'Stability Checks'!$E$5:$E$2000,"Pass"))</f>
        <v/>
      </c>
      <c r="R53" s="47">
        <f>IF(A53="","",'Run Plan'!Q53)</f>
        <v/>
      </c>
      <c r="S53" s="50" t="n"/>
    </row>
    <row r="54" ht="15.75" customHeight="1" s="40">
      <c r="A54" s="55">
        <f>IF('Run Plan'!A54="","",'Run Plan'!A54)</f>
        <v/>
      </c>
      <c r="B54" s="55">
        <f>IF(A54="","",'Run Plan'!C54)</f>
        <v/>
      </c>
      <c r="C54" s="55">
        <f>IF(A54="","",'Run Plan'!E54)</f>
        <v/>
      </c>
      <c r="D54" s="54">
        <f>IF(A54="","",'Run Plan'!G54)</f>
        <v/>
      </c>
      <c r="E54" s="47">
        <f>IF(A54="","",'Run Plan'!K54)</f>
        <v/>
      </c>
      <c r="F54" s="47">
        <f>IF(A54="","",'Run Plan'!J54)</f>
        <v/>
      </c>
      <c r="G54" s="56">
        <f>IF(A54="","",COUNTIF('Turn Log'!$B$5:$B$5000,A54))</f>
        <v/>
      </c>
      <c r="H54" s="56">
        <f>IF(A54="","",IFERROR(MINIFS('Turn Log'!$C$5:$C$5000,'Turn Log'!$B$5:$B$5000,A54,'Turn Log'!$Q$5:$Q$5000,"Pass"),""))</f>
        <v/>
      </c>
      <c r="I54" s="56">
        <f>IF(A54="","",IFERROR(MAXIFS('Turn Log'!$C$5:$C$5000,'Turn Log'!$B$5:$B$5000,A54),""))</f>
        <v/>
      </c>
      <c r="J54" s="56">
        <f>IF(A54="","",IFERROR(INDEX('Turn Log'!$Q$5:$Q$5000,MATCH(1,('Turn Log'!$B$5:$B$5000=A54)*('Turn Log'!$C$5:$C$5000=I54),0)),""))</f>
        <v/>
      </c>
      <c r="K54" s="56">
        <f>IF(A54="","",IFERROR(INDEX('Turn Log'!$R$5:$R$5000,MATCH(1,('Turn Log'!$B$5:$B$5000=A54)*('Turn Log'!$C$5:$C$5000=I54),0)),""))</f>
        <v/>
      </c>
      <c r="L54" s="56">
        <f>IF(A54="","",COUNTIFS('Turn Log'!$B$5:$B$5000,A54,'Turn Log'!$X$5:$X$5000,1))</f>
        <v/>
      </c>
      <c r="M54" s="56">
        <f>IF(A54="","",COUNTIFS('Turn Log'!$B$5:$B$5000,A54,'Turn Log'!$Y$5:$Y$5000,1))</f>
        <v/>
      </c>
      <c r="N54" s="56">
        <f>IF(A54="","",COUNTIFS('Turn Log'!$B$5:$B$5000,A54,'Turn Log'!$W$5:$W$5000,1))</f>
        <v/>
      </c>
      <c r="O54" s="56">
        <f>IF(H54="","No","Yes")</f>
        <v/>
      </c>
      <c r="P54" s="56">
        <f>IF(A54="","",COUNTIFS('Stability Checks'!$A$5:$A$2000,A54,'Stability Checks'!$C$5:$C$2000,"Re-execution",'Stability Checks'!$E$5:$E$2000,"Pass"))</f>
        <v/>
      </c>
      <c r="Q54" s="56">
        <f>IF(A54="","",COUNTIFS('Stability Checks'!$A$5:$A$2000,A54,'Stability Checks'!$C$5:$C$2000,"Re-prompt",'Stability Checks'!$E$5:$E$2000,"Pass"))</f>
        <v/>
      </c>
      <c r="R54" s="47">
        <f>IF(A54="","",'Run Plan'!Q54)</f>
        <v/>
      </c>
      <c r="S54" s="50" t="n"/>
    </row>
    <row r="55" ht="15.75" customHeight="1" s="40">
      <c r="A55" s="55">
        <f>IF('Run Plan'!A55="","",'Run Plan'!A55)</f>
        <v/>
      </c>
      <c r="B55" s="55">
        <f>IF(A55="","",'Run Plan'!C55)</f>
        <v/>
      </c>
      <c r="C55" s="55">
        <f>IF(A55="","",'Run Plan'!E55)</f>
        <v/>
      </c>
      <c r="D55" s="54">
        <f>IF(A55="","",'Run Plan'!G55)</f>
        <v/>
      </c>
      <c r="E55" s="47">
        <f>IF(A55="","",'Run Plan'!K55)</f>
        <v/>
      </c>
      <c r="F55" s="47">
        <f>IF(A55="","",'Run Plan'!J55)</f>
        <v/>
      </c>
      <c r="G55" s="56">
        <f>IF(A55="","",COUNTIF('Turn Log'!$B$5:$B$5000,A55))</f>
        <v/>
      </c>
      <c r="H55" s="56">
        <f>IF(A55="","",IFERROR(MINIFS('Turn Log'!$C$5:$C$5000,'Turn Log'!$B$5:$B$5000,A55,'Turn Log'!$Q$5:$Q$5000,"Pass"),""))</f>
        <v/>
      </c>
      <c r="I55" s="56">
        <f>IF(A55="","",IFERROR(MAXIFS('Turn Log'!$C$5:$C$5000,'Turn Log'!$B$5:$B$5000,A55),""))</f>
        <v/>
      </c>
      <c r="J55" s="56">
        <f>IF(A55="","",IFERROR(INDEX('Turn Log'!$Q$5:$Q$5000,MATCH(1,('Turn Log'!$B$5:$B$5000=A55)*('Turn Log'!$C$5:$C$5000=I55),0)),""))</f>
        <v/>
      </c>
      <c r="K55" s="56">
        <f>IF(A55="","",IFERROR(INDEX('Turn Log'!$R$5:$R$5000,MATCH(1,('Turn Log'!$B$5:$B$5000=A55)*('Turn Log'!$C$5:$C$5000=I55),0)),""))</f>
        <v/>
      </c>
      <c r="L55" s="56">
        <f>IF(A55="","",COUNTIFS('Turn Log'!$B$5:$B$5000,A55,'Turn Log'!$X$5:$X$5000,1))</f>
        <v/>
      </c>
      <c r="M55" s="56">
        <f>IF(A55="","",COUNTIFS('Turn Log'!$B$5:$B$5000,A55,'Turn Log'!$Y$5:$Y$5000,1))</f>
        <v/>
      </c>
      <c r="N55" s="56">
        <f>IF(A55="","",COUNTIFS('Turn Log'!$B$5:$B$5000,A55,'Turn Log'!$W$5:$W$5000,1))</f>
        <v/>
      </c>
      <c r="O55" s="56">
        <f>IF(H55="","No","Yes")</f>
        <v/>
      </c>
      <c r="P55" s="56">
        <f>IF(A55="","",COUNTIFS('Stability Checks'!$A$5:$A$2000,A55,'Stability Checks'!$C$5:$C$2000,"Re-execution",'Stability Checks'!$E$5:$E$2000,"Pass"))</f>
        <v/>
      </c>
      <c r="Q55" s="56">
        <f>IF(A55="","",COUNTIFS('Stability Checks'!$A$5:$A$2000,A55,'Stability Checks'!$C$5:$C$2000,"Re-prompt",'Stability Checks'!$E$5:$E$2000,"Pass"))</f>
        <v/>
      </c>
      <c r="R55" s="47">
        <f>IF(A55="","",'Run Plan'!Q55)</f>
        <v/>
      </c>
      <c r="S55" s="50" t="n"/>
    </row>
    <row r="56" ht="15.75" customHeight="1" s="40">
      <c r="A56" s="55">
        <f>IF('Run Plan'!A56="","",'Run Plan'!A56)</f>
        <v/>
      </c>
      <c r="B56" s="55">
        <f>IF(A56="","",'Run Plan'!C56)</f>
        <v/>
      </c>
      <c r="C56" s="55">
        <f>IF(A56="","",'Run Plan'!E56)</f>
        <v/>
      </c>
      <c r="D56" s="54">
        <f>IF(A56="","",'Run Plan'!G56)</f>
        <v/>
      </c>
      <c r="E56" s="47">
        <f>IF(A56="","",'Run Plan'!K56)</f>
        <v/>
      </c>
      <c r="F56" s="47">
        <f>IF(A56="","",'Run Plan'!J56)</f>
        <v/>
      </c>
      <c r="G56" s="56">
        <f>IF(A56="","",COUNTIF('Turn Log'!$B$5:$B$5000,A56))</f>
        <v/>
      </c>
      <c r="H56" s="56">
        <f>IF(A56="","",IFERROR(MINIFS('Turn Log'!$C$5:$C$5000,'Turn Log'!$B$5:$B$5000,A56,'Turn Log'!$Q$5:$Q$5000,"Pass"),""))</f>
        <v/>
      </c>
      <c r="I56" s="56">
        <f>IF(A56="","",IFERROR(MAXIFS('Turn Log'!$C$5:$C$5000,'Turn Log'!$B$5:$B$5000,A56),""))</f>
        <v/>
      </c>
      <c r="J56" s="56">
        <f>IF(A56="","",IFERROR(INDEX('Turn Log'!$Q$5:$Q$5000,MATCH(1,('Turn Log'!$B$5:$B$5000=A56)*('Turn Log'!$C$5:$C$5000=I56),0)),""))</f>
        <v/>
      </c>
      <c r="K56" s="56">
        <f>IF(A56="","",IFERROR(INDEX('Turn Log'!$R$5:$R$5000,MATCH(1,('Turn Log'!$B$5:$B$5000=A56)*('Turn Log'!$C$5:$C$5000=I56),0)),""))</f>
        <v/>
      </c>
      <c r="L56" s="56">
        <f>IF(A56="","",COUNTIFS('Turn Log'!$B$5:$B$5000,A56,'Turn Log'!$X$5:$X$5000,1))</f>
        <v/>
      </c>
      <c r="M56" s="56">
        <f>IF(A56="","",COUNTIFS('Turn Log'!$B$5:$B$5000,A56,'Turn Log'!$Y$5:$Y$5000,1))</f>
        <v/>
      </c>
      <c r="N56" s="56">
        <f>IF(A56="","",COUNTIFS('Turn Log'!$B$5:$B$5000,A56,'Turn Log'!$W$5:$W$5000,1))</f>
        <v/>
      </c>
      <c r="O56" s="56">
        <f>IF(H56="","No","Yes")</f>
        <v/>
      </c>
      <c r="P56" s="56">
        <f>IF(A56="","",COUNTIFS('Stability Checks'!$A$5:$A$2000,A56,'Stability Checks'!$C$5:$C$2000,"Re-execution",'Stability Checks'!$E$5:$E$2000,"Pass"))</f>
        <v/>
      </c>
      <c r="Q56" s="56">
        <f>IF(A56="","",COUNTIFS('Stability Checks'!$A$5:$A$2000,A56,'Stability Checks'!$C$5:$C$2000,"Re-prompt",'Stability Checks'!$E$5:$E$2000,"Pass"))</f>
        <v/>
      </c>
      <c r="R56" s="47">
        <f>IF(A56="","",'Run Plan'!Q56)</f>
        <v/>
      </c>
      <c r="S56" s="50" t="n"/>
    </row>
    <row r="57" ht="15.75" customHeight="1" s="40">
      <c r="A57" s="55">
        <f>IF('Run Plan'!A57="","",'Run Plan'!A57)</f>
        <v/>
      </c>
      <c r="B57" s="55">
        <f>IF(A57="","",'Run Plan'!C57)</f>
        <v/>
      </c>
      <c r="C57" s="55">
        <f>IF(A57="","",'Run Plan'!E57)</f>
        <v/>
      </c>
      <c r="D57" s="54">
        <f>IF(A57="","",'Run Plan'!G57)</f>
        <v/>
      </c>
      <c r="E57" s="47">
        <f>IF(A57="","",'Run Plan'!K57)</f>
        <v/>
      </c>
      <c r="F57" s="47">
        <f>IF(A57="","",'Run Plan'!J57)</f>
        <v/>
      </c>
      <c r="G57" s="56">
        <f>IF(A57="","",COUNTIF('Turn Log'!$B$5:$B$5000,A57))</f>
        <v/>
      </c>
      <c r="H57" s="56">
        <f>IF(A57="","",IFERROR(MINIFS('Turn Log'!$C$5:$C$5000,'Turn Log'!$B$5:$B$5000,A57,'Turn Log'!$Q$5:$Q$5000,"Pass"),""))</f>
        <v/>
      </c>
      <c r="I57" s="56">
        <f>IF(A57="","",IFERROR(MAXIFS('Turn Log'!$C$5:$C$5000,'Turn Log'!$B$5:$B$5000,A57),""))</f>
        <v/>
      </c>
      <c r="J57" s="56">
        <f>IF(A57="","",IFERROR(INDEX('Turn Log'!$Q$5:$Q$5000,MATCH(1,('Turn Log'!$B$5:$B$5000=A57)*('Turn Log'!$C$5:$C$5000=I57),0)),""))</f>
        <v/>
      </c>
      <c r="K57" s="56">
        <f>IF(A57="","",IFERROR(INDEX('Turn Log'!$R$5:$R$5000,MATCH(1,('Turn Log'!$B$5:$B$5000=A57)*('Turn Log'!$C$5:$C$5000=I57),0)),""))</f>
        <v/>
      </c>
      <c r="L57" s="56">
        <f>IF(A57="","",COUNTIFS('Turn Log'!$B$5:$B$5000,A57,'Turn Log'!$X$5:$X$5000,1))</f>
        <v/>
      </c>
      <c r="M57" s="56">
        <f>IF(A57="","",COUNTIFS('Turn Log'!$B$5:$B$5000,A57,'Turn Log'!$Y$5:$Y$5000,1))</f>
        <v/>
      </c>
      <c r="N57" s="56">
        <f>IF(A57="","",COUNTIFS('Turn Log'!$B$5:$B$5000,A57,'Turn Log'!$W$5:$W$5000,1))</f>
        <v/>
      </c>
      <c r="O57" s="56">
        <f>IF(H57="","No","Yes")</f>
        <v/>
      </c>
      <c r="P57" s="56">
        <f>IF(A57="","",COUNTIFS('Stability Checks'!$A$5:$A$2000,A57,'Stability Checks'!$C$5:$C$2000,"Re-execution",'Stability Checks'!$E$5:$E$2000,"Pass"))</f>
        <v/>
      </c>
      <c r="Q57" s="56">
        <f>IF(A57="","",COUNTIFS('Stability Checks'!$A$5:$A$2000,A57,'Stability Checks'!$C$5:$C$2000,"Re-prompt",'Stability Checks'!$E$5:$E$2000,"Pass"))</f>
        <v/>
      </c>
      <c r="R57" s="47">
        <f>IF(A57="","",'Run Plan'!Q57)</f>
        <v/>
      </c>
      <c r="S57" s="50" t="n"/>
    </row>
    <row r="58" ht="15.75" customHeight="1" s="40">
      <c r="A58" s="55">
        <f>IF('Run Plan'!A58="","",'Run Plan'!A58)</f>
        <v/>
      </c>
      <c r="B58" s="55">
        <f>IF(A58="","",'Run Plan'!C58)</f>
        <v/>
      </c>
      <c r="C58" s="55">
        <f>IF(A58="","",'Run Plan'!E58)</f>
        <v/>
      </c>
      <c r="D58" s="54">
        <f>IF(A58="","",'Run Plan'!G58)</f>
        <v/>
      </c>
      <c r="E58" s="47">
        <f>IF(A58="","",'Run Plan'!K58)</f>
        <v/>
      </c>
      <c r="F58" s="47">
        <f>IF(A58="","",'Run Plan'!J58)</f>
        <v/>
      </c>
      <c r="G58" s="56">
        <f>IF(A58="","",COUNTIF('Turn Log'!$B$5:$B$5000,A58))</f>
        <v/>
      </c>
      <c r="H58" s="56">
        <f>IF(A58="","",IFERROR(MINIFS('Turn Log'!$C$5:$C$5000,'Turn Log'!$B$5:$B$5000,A58,'Turn Log'!$Q$5:$Q$5000,"Pass"),""))</f>
        <v/>
      </c>
      <c r="I58" s="56">
        <f>IF(A58="","",IFERROR(MAXIFS('Turn Log'!$C$5:$C$5000,'Turn Log'!$B$5:$B$5000,A58),""))</f>
        <v/>
      </c>
      <c r="J58" s="56">
        <f>IF(A58="","",IFERROR(INDEX('Turn Log'!$Q$5:$Q$5000,MATCH(1,('Turn Log'!$B$5:$B$5000=A58)*('Turn Log'!$C$5:$C$5000=I58),0)),""))</f>
        <v/>
      </c>
      <c r="K58" s="56">
        <f>IF(A58="","",IFERROR(INDEX('Turn Log'!$R$5:$R$5000,MATCH(1,('Turn Log'!$B$5:$B$5000=A58)*('Turn Log'!$C$5:$C$5000=I58),0)),""))</f>
        <v/>
      </c>
      <c r="L58" s="56">
        <f>IF(A58="","",COUNTIFS('Turn Log'!$B$5:$B$5000,A58,'Turn Log'!$X$5:$X$5000,1))</f>
        <v/>
      </c>
      <c r="M58" s="56">
        <f>IF(A58="","",COUNTIFS('Turn Log'!$B$5:$B$5000,A58,'Turn Log'!$Y$5:$Y$5000,1))</f>
        <v/>
      </c>
      <c r="N58" s="56">
        <f>IF(A58="","",COUNTIFS('Turn Log'!$B$5:$B$5000,A58,'Turn Log'!$W$5:$W$5000,1))</f>
        <v/>
      </c>
      <c r="O58" s="56">
        <f>IF(H58="","No","Yes")</f>
        <v/>
      </c>
      <c r="P58" s="56">
        <f>IF(A58="","",COUNTIFS('Stability Checks'!$A$5:$A$2000,A58,'Stability Checks'!$C$5:$C$2000,"Re-execution",'Stability Checks'!$E$5:$E$2000,"Pass"))</f>
        <v/>
      </c>
      <c r="Q58" s="56">
        <f>IF(A58="","",COUNTIFS('Stability Checks'!$A$5:$A$2000,A58,'Stability Checks'!$C$5:$C$2000,"Re-prompt",'Stability Checks'!$E$5:$E$2000,"Pass"))</f>
        <v/>
      </c>
      <c r="R58" s="47">
        <f>IF(A58="","",'Run Plan'!Q58)</f>
        <v/>
      </c>
      <c r="S58" s="50" t="n"/>
    </row>
    <row r="59" ht="15.75" customHeight="1" s="40">
      <c r="A59" s="55">
        <f>IF('Run Plan'!A59="","",'Run Plan'!A59)</f>
        <v/>
      </c>
      <c r="B59" s="55">
        <f>IF(A59="","",'Run Plan'!C59)</f>
        <v/>
      </c>
      <c r="C59" s="55">
        <f>IF(A59="","",'Run Plan'!E59)</f>
        <v/>
      </c>
      <c r="D59" s="54">
        <f>IF(A59="","",'Run Plan'!G59)</f>
        <v/>
      </c>
      <c r="E59" s="47">
        <f>IF(A59="","",'Run Plan'!K59)</f>
        <v/>
      </c>
      <c r="F59" s="47">
        <f>IF(A59="","",'Run Plan'!J59)</f>
        <v/>
      </c>
      <c r="G59" s="56">
        <f>IF(A59="","",COUNTIF('Turn Log'!$B$5:$B$5000,A59))</f>
        <v/>
      </c>
      <c r="H59" s="56">
        <f>IF(A59="","",IFERROR(MINIFS('Turn Log'!$C$5:$C$5000,'Turn Log'!$B$5:$B$5000,A59,'Turn Log'!$Q$5:$Q$5000,"Pass"),""))</f>
        <v/>
      </c>
      <c r="I59" s="56">
        <f>IF(A59="","",IFERROR(MAXIFS('Turn Log'!$C$5:$C$5000,'Turn Log'!$B$5:$B$5000,A59),""))</f>
        <v/>
      </c>
      <c r="J59" s="56">
        <f>IF(A59="","",IFERROR(INDEX('Turn Log'!$Q$5:$Q$5000,MATCH(1,('Turn Log'!$B$5:$B$5000=A59)*('Turn Log'!$C$5:$C$5000=I59),0)),""))</f>
        <v/>
      </c>
      <c r="K59" s="56">
        <f>IF(A59="","",IFERROR(INDEX('Turn Log'!$R$5:$R$5000,MATCH(1,('Turn Log'!$B$5:$B$5000=A59)*('Turn Log'!$C$5:$C$5000=I59),0)),""))</f>
        <v/>
      </c>
      <c r="L59" s="56">
        <f>IF(A59="","",COUNTIFS('Turn Log'!$B$5:$B$5000,A59,'Turn Log'!$X$5:$X$5000,1))</f>
        <v/>
      </c>
      <c r="M59" s="56">
        <f>IF(A59="","",COUNTIFS('Turn Log'!$B$5:$B$5000,A59,'Turn Log'!$Y$5:$Y$5000,1))</f>
        <v/>
      </c>
      <c r="N59" s="56">
        <f>IF(A59="","",COUNTIFS('Turn Log'!$B$5:$B$5000,A59,'Turn Log'!$W$5:$W$5000,1))</f>
        <v/>
      </c>
      <c r="O59" s="56">
        <f>IF(H59="","No","Yes")</f>
        <v/>
      </c>
      <c r="P59" s="56">
        <f>IF(A59="","",COUNTIFS('Stability Checks'!$A$5:$A$2000,A59,'Stability Checks'!$C$5:$C$2000,"Re-execution",'Stability Checks'!$E$5:$E$2000,"Pass"))</f>
        <v/>
      </c>
      <c r="Q59" s="56">
        <f>IF(A59="","",COUNTIFS('Stability Checks'!$A$5:$A$2000,A59,'Stability Checks'!$C$5:$C$2000,"Re-prompt",'Stability Checks'!$E$5:$E$2000,"Pass"))</f>
        <v/>
      </c>
      <c r="R59" s="47">
        <f>IF(A59="","",'Run Plan'!Q59)</f>
        <v/>
      </c>
      <c r="S59" s="50" t="n"/>
    </row>
    <row r="60" ht="15.75" customHeight="1" s="40">
      <c r="A60" s="55">
        <f>IF('Run Plan'!A60="","",'Run Plan'!A60)</f>
        <v/>
      </c>
      <c r="B60" s="55">
        <f>IF(A60="","",'Run Plan'!C60)</f>
        <v/>
      </c>
      <c r="C60" s="55">
        <f>IF(A60="","",'Run Plan'!E60)</f>
        <v/>
      </c>
      <c r="D60" s="54">
        <f>IF(A60="","",'Run Plan'!G60)</f>
        <v/>
      </c>
      <c r="E60" s="47">
        <f>IF(A60="","",'Run Plan'!K60)</f>
        <v/>
      </c>
      <c r="F60" s="47">
        <f>IF(A60="","",'Run Plan'!J60)</f>
        <v/>
      </c>
      <c r="G60" s="56">
        <f>IF(A60="","",COUNTIF('Turn Log'!$B$5:$B$5000,A60))</f>
        <v/>
      </c>
      <c r="H60" s="56">
        <f>IF(A60="","",IFERROR(MINIFS('Turn Log'!$C$5:$C$5000,'Turn Log'!$B$5:$B$5000,A60,'Turn Log'!$Q$5:$Q$5000,"Pass"),""))</f>
        <v/>
      </c>
      <c r="I60" s="56">
        <f>IF(A60="","",IFERROR(MAXIFS('Turn Log'!$C$5:$C$5000,'Turn Log'!$B$5:$B$5000,A60),""))</f>
        <v/>
      </c>
      <c r="J60" s="56">
        <f>IF(A60="","",IFERROR(INDEX('Turn Log'!$Q$5:$Q$5000,MATCH(1,('Turn Log'!$B$5:$B$5000=A60)*('Turn Log'!$C$5:$C$5000=I60),0)),""))</f>
        <v/>
      </c>
      <c r="K60" s="56">
        <f>IF(A60="","",IFERROR(INDEX('Turn Log'!$R$5:$R$5000,MATCH(1,('Turn Log'!$B$5:$B$5000=A60)*('Turn Log'!$C$5:$C$5000=I60),0)),""))</f>
        <v/>
      </c>
      <c r="L60" s="56">
        <f>IF(A60="","",COUNTIFS('Turn Log'!$B$5:$B$5000,A60,'Turn Log'!$X$5:$X$5000,1))</f>
        <v/>
      </c>
      <c r="M60" s="56">
        <f>IF(A60="","",COUNTIFS('Turn Log'!$B$5:$B$5000,A60,'Turn Log'!$Y$5:$Y$5000,1))</f>
        <v/>
      </c>
      <c r="N60" s="56">
        <f>IF(A60="","",COUNTIFS('Turn Log'!$B$5:$B$5000,A60,'Turn Log'!$W$5:$W$5000,1))</f>
        <v/>
      </c>
      <c r="O60" s="56">
        <f>IF(H60="","No","Yes")</f>
        <v/>
      </c>
      <c r="P60" s="56">
        <f>IF(A60="","",COUNTIFS('Stability Checks'!$A$5:$A$2000,A60,'Stability Checks'!$C$5:$C$2000,"Re-execution",'Stability Checks'!$E$5:$E$2000,"Pass"))</f>
        <v/>
      </c>
      <c r="Q60" s="56">
        <f>IF(A60="","",COUNTIFS('Stability Checks'!$A$5:$A$2000,A60,'Stability Checks'!$C$5:$C$2000,"Re-prompt",'Stability Checks'!$E$5:$E$2000,"Pass"))</f>
        <v/>
      </c>
      <c r="R60" s="47">
        <f>IF(A60="","",'Run Plan'!Q60)</f>
        <v/>
      </c>
      <c r="S60" s="50" t="n"/>
    </row>
    <row r="61" ht="15.75" customHeight="1" s="40">
      <c r="A61" s="55">
        <f>IF('Run Plan'!A61="","",'Run Plan'!A61)</f>
        <v/>
      </c>
      <c r="B61" s="55">
        <f>IF(A61="","",'Run Plan'!C61)</f>
        <v/>
      </c>
      <c r="C61" s="55">
        <f>IF(A61="","",'Run Plan'!E61)</f>
        <v/>
      </c>
      <c r="D61" s="54">
        <f>IF(A61="","",'Run Plan'!G61)</f>
        <v/>
      </c>
      <c r="E61" s="47">
        <f>IF(A61="","",'Run Plan'!K61)</f>
        <v/>
      </c>
      <c r="F61" s="47">
        <f>IF(A61="","",'Run Plan'!J61)</f>
        <v/>
      </c>
      <c r="G61" s="56">
        <f>IF(A61="","",COUNTIF('Turn Log'!$B$5:$B$5000,A61))</f>
        <v/>
      </c>
      <c r="H61" s="56">
        <f>IF(A61="","",IFERROR(MINIFS('Turn Log'!$C$5:$C$5000,'Turn Log'!$B$5:$B$5000,A61,'Turn Log'!$Q$5:$Q$5000,"Pass"),""))</f>
        <v/>
      </c>
      <c r="I61" s="56">
        <f>IF(A61="","",IFERROR(MAXIFS('Turn Log'!$C$5:$C$5000,'Turn Log'!$B$5:$B$5000,A61),""))</f>
        <v/>
      </c>
      <c r="J61" s="56">
        <f>IF(A61="","",IFERROR(INDEX('Turn Log'!$Q$5:$Q$5000,MATCH(1,('Turn Log'!$B$5:$B$5000=A61)*('Turn Log'!$C$5:$C$5000=I61),0)),""))</f>
        <v/>
      </c>
      <c r="K61" s="56">
        <f>IF(A61="","",IFERROR(INDEX('Turn Log'!$R$5:$R$5000,MATCH(1,('Turn Log'!$B$5:$B$5000=A61)*('Turn Log'!$C$5:$C$5000=I61),0)),""))</f>
        <v/>
      </c>
      <c r="L61" s="56">
        <f>IF(A61="","",COUNTIFS('Turn Log'!$B$5:$B$5000,A61,'Turn Log'!$X$5:$X$5000,1))</f>
        <v/>
      </c>
      <c r="M61" s="56">
        <f>IF(A61="","",COUNTIFS('Turn Log'!$B$5:$B$5000,A61,'Turn Log'!$Y$5:$Y$5000,1))</f>
        <v/>
      </c>
      <c r="N61" s="56">
        <f>IF(A61="","",COUNTIFS('Turn Log'!$B$5:$B$5000,A61,'Turn Log'!$W$5:$W$5000,1))</f>
        <v/>
      </c>
      <c r="O61" s="56">
        <f>IF(H61="","No","Yes")</f>
        <v/>
      </c>
      <c r="P61" s="56">
        <f>IF(A61="","",COUNTIFS('Stability Checks'!$A$5:$A$2000,A61,'Stability Checks'!$C$5:$C$2000,"Re-execution",'Stability Checks'!$E$5:$E$2000,"Pass"))</f>
        <v/>
      </c>
      <c r="Q61" s="56">
        <f>IF(A61="","",COUNTIFS('Stability Checks'!$A$5:$A$2000,A61,'Stability Checks'!$C$5:$C$2000,"Re-prompt",'Stability Checks'!$E$5:$E$2000,"Pass"))</f>
        <v/>
      </c>
      <c r="R61" s="47">
        <f>IF(A61="","",'Run Plan'!Q61)</f>
        <v/>
      </c>
      <c r="S61" s="50" t="n"/>
    </row>
    <row r="62" ht="15.75" customHeight="1" s="40">
      <c r="A62" s="55">
        <f>IF('Run Plan'!A62="","",'Run Plan'!A62)</f>
        <v/>
      </c>
      <c r="B62" s="55">
        <f>IF(A62="","",'Run Plan'!C62)</f>
        <v/>
      </c>
      <c r="C62" s="55">
        <f>IF(A62="","",'Run Plan'!E62)</f>
        <v/>
      </c>
      <c r="D62" s="54">
        <f>IF(A62="","",'Run Plan'!G62)</f>
        <v/>
      </c>
      <c r="E62" s="47">
        <f>IF(A62="","",'Run Plan'!K62)</f>
        <v/>
      </c>
      <c r="F62" s="47">
        <f>IF(A62="","",'Run Plan'!J62)</f>
        <v/>
      </c>
      <c r="G62" s="56">
        <f>IF(A62="","",COUNTIF('Turn Log'!$B$5:$B$5000,A62))</f>
        <v/>
      </c>
      <c r="H62" s="56">
        <f>IF(A62="","",IFERROR(MINIFS('Turn Log'!$C$5:$C$5000,'Turn Log'!$B$5:$B$5000,A62,'Turn Log'!$Q$5:$Q$5000,"Pass"),""))</f>
        <v/>
      </c>
      <c r="I62" s="56">
        <f>IF(A62="","",IFERROR(MAXIFS('Turn Log'!$C$5:$C$5000,'Turn Log'!$B$5:$B$5000,A62),""))</f>
        <v/>
      </c>
      <c r="J62" s="56">
        <f>IF(A62="","",IFERROR(INDEX('Turn Log'!$Q$5:$Q$5000,MATCH(1,('Turn Log'!$B$5:$B$5000=A62)*('Turn Log'!$C$5:$C$5000=I62),0)),""))</f>
        <v/>
      </c>
      <c r="K62" s="56">
        <f>IF(A62="","",IFERROR(INDEX('Turn Log'!$R$5:$R$5000,MATCH(1,('Turn Log'!$B$5:$B$5000=A62)*('Turn Log'!$C$5:$C$5000=I62),0)),""))</f>
        <v/>
      </c>
      <c r="L62" s="56">
        <f>IF(A62="","",COUNTIFS('Turn Log'!$B$5:$B$5000,A62,'Turn Log'!$X$5:$X$5000,1))</f>
        <v/>
      </c>
      <c r="M62" s="56">
        <f>IF(A62="","",COUNTIFS('Turn Log'!$B$5:$B$5000,A62,'Turn Log'!$Y$5:$Y$5000,1))</f>
        <v/>
      </c>
      <c r="N62" s="56">
        <f>IF(A62="","",COUNTIFS('Turn Log'!$B$5:$B$5000,A62,'Turn Log'!$W$5:$W$5000,1))</f>
        <v/>
      </c>
      <c r="O62" s="56">
        <f>IF(H62="","No","Yes")</f>
        <v/>
      </c>
      <c r="P62" s="56">
        <f>IF(A62="","",COUNTIFS('Stability Checks'!$A$5:$A$2000,A62,'Stability Checks'!$C$5:$C$2000,"Re-execution",'Stability Checks'!$E$5:$E$2000,"Pass"))</f>
        <v/>
      </c>
      <c r="Q62" s="56">
        <f>IF(A62="","",COUNTIFS('Stability Checks'!$A$5:$A$2000,A62,'Stability Checks'!$C$5:$C$2000,"Re-prompt",'Stability Checks'!$E$5:$E$2000,"Pass"))</f>
        <v/>
      </c>
      <c r="R62" s="47">
        <f>IF(A62="","",'Run Plan'!Q62)</f>
        <v/>
      </c>
      <c r="S62" s="50" t="n"/>
    </row>
    <row r="63" ht="15.75" customHeight="1" s="40">
      <c r="A63" s="55">
        <f>IF('Run Plan'!A63="","",'Run Plan'!A63)</f>
        <v/>
      </c>
      <c r="B63" s="55">
        <f>IF(A63="","",'Run Plan'!C63)</f>
        <v/>
      </c>
      <c r="C63" s="55">
        <f>IF(A63="","",'Run Plan'!E63)</f>
        <v/>
      </c>
      <c r="D63" s="54">
        <f>IF(A63="","",'Run Plan'!G63)</f>
        <v/>
      </c>
      <c r="E63" s="47">
        <f>IF(A63="","",'Run Plan'!K63)</f>
        <v/>
      </c>
      <c r="F63" s="47">
        <f>IF(A63="","",'Run Plan'!J63)</f>
        <v/>
      </c>
      <c r="G63" s="56">
        <f>IF(A63="","",COUNTIF('Turn Log'!$B$5:$B$5000,A63))</f>
        <v/>
      </c>
      <c r="H63" s="56">
        <f>IF(A63="","",IFERROR(MINIFS('Turn Log'!$C$5:$C$5000,'Turn Log'!$B$5:$B$5000,A63,'Turn Log'!$Q$5:$Q$5000,"Pass"),""))</f>
        <v/>
      </c>
      <c r="I63" s="56">
        <f>IF(A63="","",IFERROR(MAXIFS('Turn Log'!$C$5:$C$5000,'Turn Log'!$B$5:$B$5000,A63),""))</f>
        <v/>
      </c>
      <c r="J63" s="56">
        <f>IF(A63="","",IFERROR(INDEX('Turn Log'!$Q$5:$Q$5000,MATCH(1,('Turn Log'!$B$5:$B$5000=A63)*('Turn Log'!$C$5:$C$5000=I63),0)),""))</f>
        <v/>
      </c>
      <c r="K63" s="56">
        <f>IF(A63="","",IFERROR(INDEX('Turn Log'!$R$5:$R$5000,MATCH(1,('Turn Log'!$B$5:$B$5000=A63)*('Turn Log'!$C$5:$C$5000=I63),0)),""))</f>
        <v/>
      </c>
      <c r="L63" s="56">
        <f>IF(A63="","",COUNTIFS('Turn Log'!$B$5:$B$5000,A63,'Turn Log'!$X$5:$X$5000,1))</f>
        <v/>
      </c>
      <c r="M63" s="56">
        <f>IF(A63="","",COUNTIFS('Turn Log'!$B$5:$B$5000,A63,'Turn Log'!$Y$5:$Y$5000,1))</f>
        <v/>
      </c>
      <c r="N63" s="56">
        <f>IF(A63="","",COUNTIFS('Turn Log'!$B$5:$B$5000,A63,'Turn Log'!$W$5:$W$5000,1))</f>
        <v/>
      </c>
      <c r="O63" s="56">
        <f>IF(H63="","No","Yes")</f>
        <v/>
      </c>
      <c r="P63" s="56">
        <f>IF(A63="","",COUNTIFS('Stability Checks'!$A$5:$A$2000,A63,'Stability Checks'!$C$5:$C$2000,"Re-execution",'Stability Checks'!$E$5:$E$2000,"Pass"))</f>
        <v/>
      </c>
      <c r="Q63" s="56">
        <f>IF(A63="","",COUNTIFS('Stability Checks'!$A$5:$A$2000,A63,'Stability Checks'!$C$5:$C$2000,"Re-prompt",'Stability Checks'!$E$5:$E$2000,"Pass"))</f>
        <v/>
      </c>
      <c r="R63" s="47">
        <f>IF(A63="","",'Run Plan'!Q63)</f>
        <v/>
      </c>
      <c r="S63" s="50" t="n"/>
    </row>
    <row r="64" ht="15.75" customHeight="1" s="40">
      <c r="A64" s="55">
        <f>IF('Run Plan'!A64="","",'Run Plan'!A64)</f>
        <v/>
      </c>
      <c r="B64" s="55">
        <f>IF(A64="","",'Run Plan'!C64)</f>
        <v/>
      </c>
      <c r="C64" s="55">
        <f>IF(A64="","",'Run Plan'!E64)</f>
        <v/>
      </c>
      <c r="D64" s="54">
        <f>IF(A64="","",'Run Plan'!G64)</f>
        <v/>
      </c>
      <c r="E64" s="47">
        <f>IF(A64="","",'Run Plan'!K64)</f>
        <v/>
      </c>
      <c r="F64" s="47">
        <f>IF(A64="","",'Run Plan'!J64)</f>
        <v/>
      </c>
      <c r="G64" s="56">
        <f>IF(A64="","",COUNTIF('Turn Log'!$B$5:$B$5000,A64))</f>
        <v/>
      </c>
      <c r="H64" s="56">
        <f>IF(A64="","",IFERROR(MINIFS('Turn Log'!$C$5:$C$5000,'Turn Log'!$B$5:$B$5000,A64,'Turn Log'!$Q$5:$Q$5000,"Pass"),""))</f>
        <v/>
      </c>
      <c r="I64" s="56">
        <f>IF(A64="","",IFERROR(MAXIFS('Turn Log'!$C$5:$C$5000,'Turn Log'!$B$5:$B$5000,A64),""))</f>
        <v/>
      </c>
      <c r="J64" s="56">
        <f>IF(A64="","",IFERROR(INDEX('Turn Log'!$Q$5:$Q$5000,MATCH(1,('Turn Log'!$B$5:$B$5000=A64)*('Turn Log'!$C$5:$C$5000=I64),0)),""))</f>
        <v/>
      </c>
      <c r="K64" s="56">
        <f>IF(A64="","",IFERROR(INDEX('Turn Log'!$R$5:$R$5000,MATCH(1,('Turn Log'!$B$5:$B$5000=A64)*('Turn Log'!$C$5:$C$5000=I64),0)),""))</f>
        <v/>
      </c>
      <c r="L64" s="56">
        <f>IF(A64="","",COUNTIFS('Turn Log'!$B$5:$B$5000,A64,'Turn Log'!$X$5:$X$5000,1))</f>
        <v/>
      </c>
      <c r="M64" s="56">
        <f>IF(A64="","",COUNTIFS('Turn Log'!$B$5:$B$5000,A64,'Turn Log'!$Y$5:$Y$5000,1))</f>
        <v/>
      </c>
      <c r="N64" s="56">
        <f>IF(A64="","",COUNTIFS('Turn Log'!$B$5:$B$5000,A64,'Turn Log'!$W$5:$W$5000,1))</f>
        <v/>
      </c>
      <c r="O64" s="56">
        <f>IF(H64="","No","Yes")</f>
        <v/>
      </c>
      <c r="P64" s="56">
        <f>IF(A64="","",COUNTIFS('Stability Checks'!$A$5:$A$2000,A64,'Stability Checks'!$C$5:$C$2000,"Re-execution",'Stability Checks'!$E$5:$E$2000,"Pass"))</f>
        <v/>
      </c>
      <c r="Q64" s="56">
        <f>IF(A64="","",COUNTIFS('Stability Checks'!$A$5:$A$2000,A64,'Stability Checks'!$C$5:$C$2000,"Re-prompt",'Stability Checks'!$E$5:$E$2000,"Pass"))</f>
        <v/>
      </c>
      <c r="R64" s="47">
        <f>IF(A64="","",'Run Plan'!Q64)</f>
        <v/>
      </c>
      <c r="S64" s="50" t="n"/>
    </row>
    <row r="65" ht="15.75" customHeight="1" s="40">
      <c r="A65" s="55">
        <f>IF('Run Plan'!A65="","",'Run Plan'!A65)</f>
        <v/>
      </c>
      <c r="B65" s="55">
        <f>IF(A65="","",'Run Plan'!C65)</f>
        <v/>
      </c>
      <c r="C65" s="55">
        <f>IF(A65="","",'Run Plan'!E65)</f>
        <v/>
      </c>
      <c r="D65" s="54">
        <f>IF(A65="","",'Run Plan'!G65)</f>
        <v/>
      </c>
      <c r="E65" s="47">
        <f>IF(A65="","",'Run Plan'!K65)</f>
        <v/>
      </c>
      <c r="F65" s="47">
        <f>IF(A65="","",'Run Plan'!J65)</f>
        <v/>
      </c>
      <c r="G65" s="56">
        <f>IF(A65="","",COUNTIF('Turn Log'!$B$5:$B$5000,A65))</f>
        <v/>
      </c>
      <c r="H65" s="56">
        <f>IF(A65="","",IFERROR(MINIFS('Turn Log'!$C$5:$C$5000,'Turn Log'!$B$5:$B$5000,A65,'Turn Log'!$Q$5:$Q$5000,"Pass"),""))</f>
        <v/>
      </c>
      <c r="I65" s="56">
        <f>IF(A65="","",IFERROR(MAXIFS('Turn Log'!$C$5:$C$5000,'Turn Log'!$B$5:$B$5000,A65),""))</f>
        <v/>
      </c>
      <c r="J65" s="56">
        <f>IF(A65="","",IFERROR(INDEX('Turn Log'!$Q$5:$Q$5000,MATCH(1,('Turn Log'!$B$5:$B$5000=A65)*('Turn Log'!$C$5:$C$5000=I65),0)),""))</f>
        <v/>
      </c>
      <c r="K65" s="56">
        <f>IF(A65="","",IFERROR(INDEX('Turn Log'!$R$5:$R$5000,MATCH(1,('Turn Log'!$B$5:$B$5000=A65)*('Turn Log'!$C$5:$C$5000=I65),0)),""))</f>
        <v/>
      </c>
      <c r="L65" s="56">
        <f>IF(A65="","",COUNTIFS('Turn Log'!$B$5:$B$5000,A65,'Turn Log'!$X$5:$X$5000,1))</f>
        <v/>
      </c>
      <c r="M65" s="56">
        <f>IF(A65="","",COUNTIFS('Turn Log'!$B$5:$B$5000,A65,'Turn Log'!$Y$5:$Y$5000,1))</f>
        <v/>
      </c>
      <c r="N65" s="56">
        <f>IF(A65="","",COUNTIFS('Turn Log'!$B$5:$B$5000,A65,'Turn Log'!$W$5:$W$5000,1))</f>
        <v/>
      </c>
      <c r="O65" s="56">
        <f>IF(H65="","No","Yes")</f>
        <v/>
      </c>
      <c r="P65" s="56">
        <f>IF(A65="","",COUNTIFS('Stability Checks'!$A$5:$A$2000,A65,'Stability Checks'!$C$5:$C$2000,"Re-execution",'Stability Checks'!$E$5:$E$2000,"Pass"))</f>
        <v/>
      </c>
      <c r="Q65" s="56">
        <f>IF(A65="","",COUNTIFS('Stability Checks'!$A$5:$A$2000,A65,'Stability Checks'!$C$5:$C$2000,"Re-prompt",'Stability Checks'!$E$5:$E$2000,"Pass"))</f>
        <v/>
      </c>
      <c r="R65" s="47">
        <f>IF(A65="","",'Run Plan'!Q65)</f>
        <v/>
      </c>
      <c r="S65" s="50" t="n"/>
    </row>
    <row r="66" ht="15.75" customHeight="1" s="40">
      <c r="A66" s="55">
        <f>IF('Run Plan'!A66="","",'Run Plan'!A66)</f>
        <v/>
      </c>
      <c r="B66" s="55">
        <f>IF(A66="","",'Run Plan'!C66)</f>
        <v/>
      </c>
      <c r="C66" s="55">
        <f>IF(A66="","",'Run Plan'!E66)</f>
        <v/>
      </c>
      <c r="D66" s="54">
        <f>IF(A66="","",'Run Plan'!G66)</f>
        <v/>
      </c>
      <c r="E66" s="47">
        <f>IF(A66="","",'Run Plan'!K66)</f>
        <v/>
      </c>
      <c r="F66" s="47">
        <f>IF(A66="","",'Run Plan'!J66)</f>
        <v/>
      </c>
      <c r="G66" s="56">
        <f>IF(A66="","",COUNTIF('Turn Log'!$B$5:$B$5000,A66))</f>
        <v/>
      </c>
      <c r="H66" s="56">
        <f>IF(A66="","",IFERROR(MINIFS('Turn Log'!$C$5:$C$5000,'Turn Log'!$B$5:$B$5000,A66,'Turn Log'!$Q$5:$Q$5000,"Pass"),""))</f>
        <v/>
      </c>
      <c r="I66" s="56">
        <f>IF(A66="","",IFERROR(MAXIFS('Turn Log'!$C$5:$C$5000,'Turn Log'!$B$5:$B$5000,A66),""))</f>
        <v/>
      </c>
      <c r="J66" s="56">
        <f>IF(A66="","",IFERROR(INDEX('Turn Log'!$Q$5:$Q$5000,MATCH(1,('Turn Log'!$B$5:$B$5000=A66)*('Turn Log'!$C$5:$C$5000=I66),0)),""))</f>
        <v/>
      </c>
      <c r="K66" s="56">
        <f>IF(A66="","",IFERROR(INDEX('Turn Log'!$R$5:$R$5000,MATCH(1,('Turn Log'!$B$5:$B$5000=A66)*('Turn Log'!$C$5:$C$5000=I66),0)),""))</f>
        <v/>
      </c>
      <c r="L66" s="56">
        <f>IF(A66="","",COUNTIFS('Turn Log'!$B$5:$B$5000,A66,'Turn Log'!$X$5:$X$5000,1))</f>
        <v/>
      </c>
      <c r="M66" s="56">
        <f>IF(A66="","",COUNTIFS('Turn Log'!$B$5:$B$5000,A66,'Turn Log'!$Y$5:$Y$5000,1))</f>
        <v/>
      </c>
      <c r="N66" s="56">
        <f>IF(A66="","",COUNTIFS('Turn Log'!$B$5:$B$5000,A66,'Turn Log'!$W$5:$W$5000,1))</f>
        <v/>
      </c>
      <c r="O66" s="56">
        <f>IF(H66="","No","Yes")</f>
        <v/>
      </c>
      <c r="P66" s="56">
        <f>IF(A66="","",COUNTIFS('Stability Checks'!$A$5:$A$2000,A66,'Stability Checks'!$C$5:$C$2000,"Re-execution",'Stability Checks'!$E$5:$E$2000,"Pass"))</f>
        <v/>
      </c>
      <c r="Q66" s="56">
        <f>IF(A66="","",COUNTIFS('Stability Checks'!$A$5:$A$2000,A66,'Stability Checks'!$C$5:$C$2000,"Re-prompt",'Stability Checks'!$E$5:$E$2000,"Pass"))</f>
        <v/>
      </c>
      <c r="R66" s="47">
        <f>IF(A66="","",'Run Plan'!Q66)</f>
        <v/>
      </c>
      <c r="S66" s="50" t="n"/>
    </row>
    <row r="67" ht="15.75" customHeight="1" s="40">
      <c r="A67" s="55">
        <f>IF('Run Plan'!A67="","",'Run Plan'!A67)</f>
        <v/>
      </c>
      <c r="B67" s="55">
        <f>IF(A67="","",'Run Plan'!C67)</f>
        <v/>
      </c>
      <c r="C67" s="55">
        <f>IF(A67="","",'Run Plan'!E67)</f>
        <v/>
      </c>
      <c r="D67" s="54">
        <f>IF(A67="","",'Run Plan'!G67)</f>
        <v/>
      </c>
      <c r="E67" s="47">
        <f>IF(A67="","",'Run Plan'!K67)</f>
        <v/>
      </c>
      <c r="F67" s="47">
        <f>IF(A67="","",'Run Plan'!J67)</f>
        <v/>
      </c>
      <c r="G67" s="56">
        <f>IF(A67="","",COUNTIF('Turn Log'!$B$5:$B$5000,A67))</f>
        <v/>
      </c>
      <c r="H67" s="56">
        <f>IF(A67="","",IFERROR(MINIFS('Turn Log'!$C$5:$C$5000,'Turn Log'!$B$5:$B$5000,A67,'Turn Log'!$Q$5:$Q$5000,"Pass"),""))</f>
        <v/>
      </c>
      <c r="I67" s="56">
        <f>IF(A67="","",IFERROR(MAXIFS('Turn Log'!$C$5:$C$5000,'Turn Log'!$B$5:$B$5000,A67),""))</f>
        <v/>
      </c>
      <c r="J67" s="56">
        <f>IF(A67="","",IFERROR(INDEX('Turn Log'!$Q$5:$Q$5000,MATCH(1,('Turn Log'!$B$5:$B$5000=A67)*('Turn Log'!$C$5:$C$5000=I67),0)),""))</f>
        <v/>
      </c>
      <c r="K67" s="56">
        <f>IF(A67="","",IFERROR(INDEX('Turn Log'!$R$5:$R$5000,MATCH(1,('Turn Log'!$B$5:$B$5000=A67)*('Turn Log'!$C$5:$C$5000=I67),0)),""))</f>
        <v/>
      </c>
      <c r="L67" s="56">
        <f>IF(A67="","",COUNTIFS('Turn Log'!$B$5:$B$5000,A67,'Turn Log'!$X$5:$X$5000,1))</f>
        <v/>
      </c>
      <c r="M67" s="56">
        <f>IF(A67="","",COUNTIFS('Turn Log'!$B$5:$B$5000,A67,'Turn Log'!$Y$5:$Y$5000,1))</f>
        <v/>
      </c>
      <c r="N67" s="56">
        <f>IF(A67="","",COUNTIFS('Turn Log'!$B$5:$B$5000,A67,'Turn Log'!$W$5:$W$5000,1))</f>
        <v/>
      </c>
      <c r="O67" s="56">
        <f>IF(H67="","No","Yes")</f>
        <v/>
      </c>
      <c r="P67" s="56">
        <f>IF(A67="","",COUNTIFS('Stability Checks'!$A$5:$A$2000,A67,'Stability Checks'!$C$5:$C$2000,"Re-execution",'Stability Checks'!$E$5:$E$2000,"Pass"))</f>
        <v/>
      </c>
      <c r="Q67" s="56">
        <f>IF(A67="","",COUNTIFS('Stability Checks'!$A$5:$A$2000,A67,'Stability Checks'!$C$5:$C$2000,"Re-prompt",'Stability Checks'!$E$5:$E$2000,"Pass"))</f>
        <v/>
      </c>
      <c r="R67" s="47">
        <f>IF(A67="","",'Run Plan'!Q67)</f>
        <v/>
      </c>
      <c r="S67" s="50" t="n"/>
    </row>
    <row r="68" ht="15.75" customHeight="1" s="40">
      <c r="A68" s="55">
        <f>IF('Run Plan'!A68="","",'Run Plan'!A68)</f>
        <v/>
      </c>
      <c r="B68" s="55">
        <f>IF(A68="","",'Run Plan'!C68)</f>
        <v/>
      </c>
      <c r="C68" s="55">
        <f>IF(A68="","",'Run Plan'!E68)</f>
        <v/>
      </c>
      <c r="D68" s="54">
        <f>IF(A68="","",'Run Plan'!G68)</f>
        <v/>
      </c>
      <c r="E68" s="47">
        <f>IF(A68="","",'Run Plan'!K68)</f>
        <v/>
      </c>
      <c r="F68" s="47">
        <f>IF(A68="","",'Run Plan'!J68)</f>
        <v/>
      </c>
      <c r="G68" s="56">
        <f>IF(A68="","",COUNTIF('Turn Log'!$B$5:$B$5000,A68))</f>
        <v/>
      </c>
      <c r="H68" s="56">
        <f>IF(A68="","",IFERROR(MINIFS('Turn Log'!$C$5:$C$5000,'Turn Log'!$B$5:$B$5000,A68,'Turn Log'!$Q$5:$Q$5000,"Pass"),""))</f>
        <v/>
      </c>
      <c r="I68" s="56">
        <f>IF(A68="","",IFERROR(MAXIFS('Turn Log'!$C$5:$C$5000,'Turn Log'!$B$5:$B$5000,A68),""))</f>
        <v/>
      </c>
      <c r="J68" s="56">
        <f>IF(A68="","",IFERROR(INDEX('Turn Log'!$Q$5:$Q$5000,MATCH(1,('Turn Log'!$B$5:$B$5000=A68)*('Turn Log'!$C$5:$C$5000=I68),0)),""))</f>
        <v/>
      </c>
      <c r="K68" s="56">
        <f>IF(A68="","",IFERROR(INDEX('Turn Log'!$R$5:$R$5000,MATCH(1,('Turn Log'!$B$5:$B$5000=A68)*('Turn Log'!$C$5:$C$5000=I68),0)),""))</f>
        <v/>
      </c>
      <c r="L68" s="56">
        <f>IF(A68="","",COUNTIFS('Turn Log'!$B$5:$B$5000,A68,'Turn Log'!$X$5:$X$5000,1))</f>
        <v/>
      </c>
      <c r="M68" s="56">
        <f>IF(A68="","",COUNTIFS('Turn Log'!$B$5:$B$5000,A68,'Turn Log'!$Y$5:$Y$5000,1))</f>
        <v/>
      </c>
      <c r="N68" s="56">
        <f>IF(A68="","",COUNTIFS('Turn Log'!$B$5:$B$5000,A68,'Turn Log'!$W$5:$W$5000,1))</f>
        <v/>
      </c>
      <c r="O68" s="56">
        <f>IF(H68="","No","Yes")</f>
        <v/>
      </c>
      <c r="P68" s="56">
        <f>IF(A68="","",COUNTIFS('Stability Checks'!$A$5:$A$2000,A68,'Stability Checks'!$C$5:$C$2000,"Re-execution",'Stability Checks'!$E$5:$E$2000,"Pass"))</f>
        <v/>
      </c>
      <c r="Q68" s="56">
        <f>IF(A68="","",COUNTIFS('Stability Checks'!$A$5:$A$2000,A68,'Stability Checks'!$C$5:$C$2000,"Re-prompt",'Stability Checks'!$E$5:$E$2000,"Pass"))</f>
        <v/>
      </c>
      <c r="R68" s="47">
        <f>IF(A68="","",'Run Plan'!Q68)</f>
        <v/>
      </c>
      <c r="S68" s="50" t="n"/>
    </row>
    <row r="69" ht="15.75" customHeight="1" s="40">
      <c r="A69" s="55">
        <f>IF('Run Plan'!A69="","",'Run Plan'!A69)</f>
        <v/>
      </c>
      <c r="B69" s="55">
        <f>IF(A69="","",'Run Plan'!C69)</f>
        <v/>
      </c>
      <c r="C69" s="55">
        <f>IF(A69="","",'Run Plan'!E69)</f>
        <v/>
      </c>
      <c r="D69" s="54">
        <f>IF(A69="","",'Run Plan'!G69)</f>
        <v/>
      </c>
      <c r="E69" s="47">
        <f>IF(A69="","",'Run Plan'!K69)</f>
        <v/>
      </c>
      <c r="F69" s="47">
        <f>IF(A69="","",'Run Plan'!J69)</f>
        <v/>
      </c>
      <c r="G69" s="56">
        <f>IF(A69="","",COUNTIF('Turn Log'!$B$5:$B$5000,A69))</f>
        <v/>
      </c>
      <c r="H69" s="56">
        <f>IF(A69="","",IFERROR(MINIFS('Turn Log'!$C$5:$C$5000,'Turn Log'!$B$5:$B$5000,A69,'Turn Log'!$Q$5:$Q$5000,"Pass"),""))</f>
        <v/>
      </c>
      <c r="I69" s="56">
        <f>IF(A69="","",IFERROR(MAXIFS('Turn Log'!$C$5:$C$5000,'Turn Log'!$B$5:$B$5000,A69),""))</f>
        <v/>
      </c>
      <c r="J69" s="56">
        <f>IF(A69="","",IFERROR(INDEX('Turn Log'!$Q$5:$Q$5000,MATCH(1,('Turn Log'!$B$5:$B$5000=A69)*('Turn Log'!$C$5:$C$5000=I69),0)),""))</f>
        <v/>
      </c>
      <c r="K69" s="56">
        <f>IF(A69="","",IFERROR(INDEX('Turn Log'!$R$5:$R$5000,MATCH(1,('Turn Log'!$B$5:$B$5000=A69)*('Turn Log'!$C$5:$C$5000=I69),0)),""))</f>
        <v/>
      </c>
      <c r="L69" s="56">
        <f>IF(A69="","",COUNTIFS('Turn Log'!$B$5:$B$5000,A69,'Turn Log'!$X$5:$X$5000,1))</f>
        <v/>
      </c>
      <c r="M69" s="56">
        <f>IF(A69="","",COUNTIFS('Turn Log'!$B$5:$B$5000,A69,'Turn Log'!$Y$5:$Y$5000,1))</f>
        <v/>
      </c>
      <c r="N69" s="56">
        <f>IF(A69="","",COUNTIFS('Turn Log'!$B$5:$B$5000,A69,'Turn Log'!$W$5:$W$5000,1))</f>
        <v/>
      </c>
      <c r="O69" s="56">
        <f>IF(H69="","No","Yes")</f>
        <v/>
      </c>
      <c r="P69" s="56">
        <f>IF(A69="","",COUNTIFS('Stability Checks'!$A$5:$A$2000,A69,'Stability Checks'!$C$5:$C$2000,"Re-execution",'Stability Checks'!$E$5:$E$2000,"Pass"))</f>
        <v/>
      </c>
      <c r="Q69" s="56">
        <f>IF(A69="","",COUNTIFS('Stability Checks'!$A$5:$A$2000,A69,'Stability Checks'!$C$5:$C$2000,"Re-prompt",'Stability Checks'!$E$5:$E$2000,"Pass"))</f>
        <v/>
      </c>
      <c r="R69" s="47">
        <f>IF(A69="","",'Run Plan'!Q69)</f>
        <v/>
      </c>
      <c r="S69" s="50" t="n"/>
    </row>
    <row r="70" ht="15.75" customHeight="1" s="40">
      <c r="A70" s="55">
        <f>IF('Run Plan'!A70="","",'Run Plan'!A70)</f>
        <v/>
      </c>
      <c r="B70" s="55">
        <f>IF(A70="","",'Run Plan'!C70)</f>
        <v/>
      </c>
      <c r="C70" s="55">
        <f>IF(A70="","",'Run Plan'!E70)</f>
        <v/>
      </c>
      <c r="D70" s="54">
        <f>IF(A70="","",'Run Plan'!G70)</f>
        <v/>
      </c>
      <c r="E70" s="47">
        <f>IF(A70="","",'Run Plan'!K70)</f>
        <v/>
      </c>
      <c r="F70" s="47">
        <f>IF(A70="","",'Run Plan'!J70)</f>
        <v/>
      </c>
      <c r="G70" s="56">
        <f>IF(A70="","",COUNTIF('Turn Log'!$B$5:$B$5000,A70))</f>
        <v/>
      </c>
      <c r="H70" s="56">
        <f>IF(A70="","",IFERROR(MINIFS('Turn Log'!$C$5:$C$5000,'Turn Log'!$B$5:$B$5000,A70,'Turn Log'!$Q$5:$Q$5000,"Pass"),""))</f>
        <v/>
      </c>
      <c r="I70" s="56">
        <f>IF(A70="","",IFERROR(MAXIFS('Turn Log'!$C$5:$C$5000,'Turn Log'!$B$5:$B$5000,A70),""))</f>
        <v/>
      </c>
      <c r="J70" s="56">
        <f>IF(A70="","",IFERROR(INDEX('Turn Log'!$Q$5:$Q$5000,MATCH(1,('Turn Log'!$B$5:$B$5000=A70)*('Turn Log'!$C$5:$C$5000=I70),0)),""))</f>
        <v/>
      </c>
      <c r="K70" s="56">
        <f>IF(A70="","",IFERROR(INDEX('Turn Log'!$R$5:$R$5000,MATCH(1,('Turn Log'!$B$5:$B$5000=A70)*('Turn Log'!$C$5:$C$5000=I70),0)),""))</f>
        <v/>
      </c>
      <c r="L70" s="56">
        <f>IF(A70="","",COUNTIFS('Turn Log'!$B$5:$B$5000,A70,'Turn Log'!$X$5:$X$5000,1))</f>
        <v/>
      </c>
      <c r="M70" s="56">
        <f>IF(A70="","",COUNTIFS('Turn Log'!$B$5:$B$5000,A70,'Turn Log'!$Y$5:$Y$5000,1))</f>
        <v/>
      </c>
      <c r="N70" s="56">
        <f>IF(A70="","",COUNTIFS('Turn Log'!$B$5:$B$5000,A70,'Turn Log'!$W$5:$W$5000,1))</f>
        <v/>
      </c>
      <c r="O70" s="56">
        <f>IF(H70="","No","Yes")</f>
        <v/>
      </c>
      <c r="P70" s="56">
        <f>IF(A70="","",COUNTIFS('Stability Checks'!$A$5:$A$2000,A70,'Stability Checks'!$C$5:$C$2000,"Re-execution",'Stability Checks'!$E$5:$E$2000,"Pass"))</f>
        <v/>
      </c>
      <c r="Q70" s="56">
        <f>IF(A70="","",COUNTIFS('Stability Checks'!$A$5:$A$2000,A70,'Stability Checks'!$C$5:$C$2000,"Re-prompt",'Stability Checks'!$E$5:$E$2000,"Pass"))</f>
        <v/>
      </c>
      <c r="R70" s="47">
        <f>IF(A70="","",'Run Plan'!Q70)</f>
        <v/>
      </c>
      <c r="S70" s="50" t="n"/>
    </row>
    <row r="71" ht="15.75" customHeight="1" s="40">
      <c r="A71" s="55">
        <f>IF('Run Plan'!A71="","",'Run Plan'!A71)</f>
        <v/>
      </c>
      <c r="B71" s="55">
        <f>IF(A71="","",'Run Plan'!C71)</f>
        <v/>
      </c>
      <c r="C71" s="55">
        <f>IF(A71="","",'Run Plan'!E71)</f>
        <v/>
      </c>
      <c r="D71" s="54">
        <f>IF(A71="","",'Run Plan'!G71)</f>
        <v/>
      </c>
      <c r="E71" s="47">
        <f>IF(A71="","",'Run Plan'!K71)</f>
        <v/>
      </c>
      <c r="F71" s="47">
        <f>IF(A71="","",'Run Plan'!J71)</f>
        <v/>
      </c>
      <c r="G71" s="56">
        <f>IF(A71="","",COUNTIF('Turn Log'!$B$5:$B$5000,A71))</f>
        <v/>
      </c>
      <c r="H71" s="56">
        <f>IF(A71="","",IFERROR(MINIFS('Turn Log'!$C$5:$C$5000,'Turn Log'!$B$5:$B$5000,A71,'Turn Log'!$Q$5:$Q$5000,"Pass"),""))</f>
        <v/>
      </c>
      <c r="I71" s="56">
        <f>IF(A71="","",IFERROR(MAXIFS('Turn Log'!$C$5:$C$5000,'Turn Log'!$B$5:$B$5000,A71),""))</f>
        <v/>
      </c>
      <c r="J71" s="56">
        <f>IF(A71="","",IFERROR(INDEX('Turn Log'!$Q$5:$Q$5000,MATCH(1,('Turn Log'!$B$5:$B$5000=A71)*('Turn Log'!$C$5:$C$5000=I71),0)),""))</f>
        <v/>
      </c>
      <c r="K71" s="56">
        <f>IF(A71="","",IFERROR(INDEX('Turn Log'!$R$5:$R$5000,MATCH(1,('Turn Log'!$B$5:$B$5000=A71)*('Turn Log'!$C$5:$C$5000=I71),0)),""))</f>
        <v/>
      </c>
      <c r="L71" s="56">
        <f>IF(A71="","",COUNTIFS('Turn Log'!$B$5:$B$5000,A71,'Turn Log'!$X$5:$X$5000,1))</f>
        <v/>
      </c>
      <c r="M71" s="56">
        <f>IF(A71="","",COUNTIFS('Turn Log'!$B$5:$B$5000,A71,'Turn Log'!$Y$5:$Y$5000,1))</f>
        <v/>
      </c>
      <c r="N71" s="56">
        <f>IF(A71="","",COUNTIFS('Turn Log'!$B$5:$B$5000,A71,'Turn Log'!$W$5:$W$5000,1))</f>
        <v/>
      </c>
      <c r="O71" s="56">
        <f>IF(H71="","No","Yes")</f>
        <v/>
      </c>
      <c r="P71" s="56">
        <f>IF(A71="","",COUNTIFS('Stability Checks'!$A$5:$A$2000,A71,'Stability Checks'!$C$5:$C$2000,"Re-execution",'Stability Checks'!$E$5:$E$2000,"Pass"))</f>
        <v/>
      </c>
      <c r="Q71" s="56">
        <f>IF(A71="","",COUNTIFS('Stability Checks'!$A$5:$A$2000,A71,'Stability Checks'!$C$5:$C$2000,"Re-prompt",'Stability Checks'!$E$5:$E$2000,"Pass"))</f>
        <v/>
      </c>
      <c r="R71" s="47">
        <f>IF(A71="","",'Run Plan'!Q71)</f>
        <v/>
      </c>
      <c r="S71" s="50" t="n"/>
    </row>
    <row r="72" ht="15.75" customHeight="1" s="40">
      <c r="A72" s="55">
        <f>IF('Run Plan'!A72="","",'Run Plan'!A72)</f>
        <v/>
      </c>
      <c r="B72" s="55">
        <f>IF(A72="","",'Run Plan'!C72)</f>
        <v/>
      </c>
      <c r="C72" s="55">
        <f>IF(A72="","",'Run Plan'!E72)</f>
        <v/>
      </c>
      <c r="D72" s="54">
        <f>IF(A72="","",'Run Plan'!G72)</f>
        <v/>
      </c>
      <c r="E72" s="47">
        <f>IF(A72="","",'Run Plan'!K72)</f>
        <v/>
      </c>
      <c r="F72" s="47">
        <f>IF(A72="","",'Run Plan'!J72)</f>
        <v/>
      </c>
      <c r="G72" s="56">
        <f>IF(A72="","",COUNTIF('Turn Log'!$B$5:$B$5000,A72))</f>
        <v/>
      </c>
      <c r="H72" s="56">
        <f>IF(A72="","",IFERROR(MINIFS('Turn Log'!$C$5:$C$5000,'Turn Log'!$B$5:$B$5000,A72,'Turn Log'!$Q$5:$Q$5000,"Pass"),""))</f>
        <v/>
      </c>
      <c r="I72" s="56">
        <f>IF(A72="","",IFERROR(MAXIFS('Turn Log'!$C$5:$C$5000,'Turn Log'!$B$5:$B$5000,A72),""))</f>
        <v/>
      </c>
      <c r="J72" s="56">
        <f>IF(A72="","",IFERROR(INDEX('Turn Log'!$Q$5:$Q$5000,MATCH(1,('Turn Log'!$B$5:$B$5000=A72)*('Turn Log'!$C$5:$C$5000=I72),0)),""))</f>
        <v/>
      </c>
      <c r="K72" s="56">
        <f>IF(A72="","",IFERROR(INDEX('Turn Log'!$R$5:$R$5000,MATCH(1,('Turn Log'!$B$5:$B$5000=A72)*('Turn Log'!$C$5:$C$5000=I72),0)),""))</f>
        <v/>
      </c>
      <c r="L72" s="56">
        <f>IF(A72="","",COUNTIFS('Turn Log'!$B$5:$B$5000,A72,'Turn Log'!$X$5:$X$5000,1))</f>
        <v/>
      </c>
      <c r="M72" s="56">
        <f>IF(A72="","",COUNTIFS('Turn Log'!$B$5:$B$5000,A72,'Turn Log'!$Y$5:$Y$5000,1))</f>
        <v/>
      </c>
      <c r="N72" s="56">
        <f>IF(A72="","",COUNTIFS('Turn Log'!$B$5:$B$5000,A72,'Turn Log'!$W$5:$W$5000,1))</f>
        <v/>
      </c>
      <c r="O72" s="56">
        <f>IF(H72="","No","Yes")</f>
        <v/>
      </c>
      <c r="P72" s="56">
        <f>IF(A72="","",COUNTIFS('Stability Checks'!$A$5:$A$2000,A72,'Stability Checks'!$C$5:$C$2000,"Re-execution",'Stability Checks'!$E$5:$E$2000,"Pass"))</f>
        <v/>
      </c>
      <c r="Q72" s="56">
        <f>IF(A72="","",COUNTIFS('Stability Checks'!$A$5:$A$2000,A72,'Stability Checks'!$C$5:$C$2000,"Re-prompt",'Stability Checks'!$E$5:$E$2000,"Pass"))</f>
        <v/>
      </c>
      <c r="R72" s="47">
        <f>IF(A72="","",'Run Plan'!Q72)</f>
        <v/>
      </c>
      <c r="S72" s="50" t="n"/>
    </row>
    <row r="73" ht="15.75" customHeight="1" s="40">
      <c r="A73" s="55">
        <f>IF('Run Plan'!A73="","",'Run Plan'!A73)</f>
        <v/>
      </c>
      <c r="B73" s="55">
        <f>IF(A73="","",'Run Plan'!C73)</f>
        <v/>
      </c>
      <c r="C73" s="55">
        <f>IF(A73="","",'Run Plan'!E73)</f>
        <v/>
      </c>
      <c r="D73" s="54">
        <f>IF(A73="","",'Run Plan'!G73)</f>
        <v/>
      </c>
      <c r="E73" s="47">
        <f>IF(A73="","",'Run Plan'!K73)</f>
        <v/>
      </c>
      <c r="F73" s="47">
        <f>IF(A73="","",'Run Plan'!J73)</f>
        <v/>
      </c>
      <c r="G73" s="56">
        <f>IF(A73="","",COUNTIF('Turn Log'!$B$5:$B$5000,A73))</f>
        <v/>
      </c>
      <c r="H73" s="56">
        <f>IF(A73="","",IFERROR(MINIFS('Turn Log'!$C$5:$C$5000,'Turn Log'!$B$5:$B$5000,A73,'Turn Log'!$Q$5:$Q$5000,"Pass"),""))</f>
        <v/>
      </c>
      <c r="I73" s="56">
        <f>IF(A73="","",IFERROR(MAXIFS('Turn Log'!$C$5:$C$5000,'Turn Log'!$B$5:$B$5000,A73),""))</f>
        <v/>
      </c>
      <c r="J73" s="56">
        <f>IF(A73="","",IFERROR(INDEX('Turn Log'!$Q$5:$Q$5000,MATCH(1,('Turn Log'!$B$5:$B$5000=A73)*('Turn Log'!$C$5:$C$5000=I73),0)),""))</f>
        <v/>
      </c>
      <c r="K73" s="56">
        <f>IF(A73="","",IFERROR(INDEX('Turn Log'!$R$5:$R$5000,MATCH(1,('Turn Log'!$B$5:$B$5000=A73)*('Turn Log'!$C$5:$C$5000=I73),0)),""))</f>
        <v/>
      </c>
      <c r="L73" s="56">
        <f>IF(A73="","",COUNTIFS('Turn Log'!$B$5:$B$5000,A73,'Turn Log'!$X$5:$X$5000,1))</f>
        <v/>
      </c>
      <c r="M73" s="56">
        <f>IF(A73="","",COUNTIFS('Turn Log'!$B$5:$B$5000,A73,'Turn Log'!$Y$5:$Y$5000,1))</f>
        <v/>
      </c>
      <c r="N73" s="56">
        <f>IF(A73="","",COUNTIFS('Turn Log'!$B$5:$B$5000,A73,'Turn Log'!$W$5:$W$5000,1))</f>
        <v/>
      </c>
      <c r="O73" s="56">
        <f>IF(H73="","No","Yes")</f>
        <v/>
      </c>
      <c r="P73" s="56">
        <f>IF(A73="","",COUNTIFS('Stability Checks'!$A$5:$A$2000,A73,'Stability Checks'!$C$5:$C$2000,"Re-execution",'Stability Checks'!$E$5:$E$2000,"Pass"))</f>
        <v/>
      </c>
      <c r="Q73" s="56">
        <f>IF(A73="","",COUNTIFS('Stability Checks'!$A$5:$A$2000,A73,'Stability Checks'!$C$5:$C$2000,"Re-prompt",'Stability Checks'!$E$5:$E$2000,"Pass"))</f>
        <v/>
      </c>
      <c r="R73" s="47">
        <f>IF(A73="","",'Run Plan'!Q73)</f>
        <v/>
      </c>
      <c r="S73" s="50" t="n"/>
    </row>
    <row r="74" ht="15.75" customHeight="1" s="40">
      <c r="A74" s="55">
        <f>IF('Run Plan'!A74="","",'Run Plan'!A74)</f>
        <v/>
      </c>
      <c r="B74" s="55">
        <f>IF(A74="","",'Run Plan'!C74)</f>
        <v/>
      </c>
      <c r="C74" s="55">
        <f>IF(A74="","",'Run Plan'!E74)</f>
        <v/>
      </c>
      <c r="D74" s="54">
        <f>IF(A74="","",'Run Plan'!G74)</f>
        <v/>
      </c>
      <c r="E74" s="47">
        <f>IF(A74="","",'Run Plan'!K74)</f>
        <v/>
      </c>
      <c r="F74" s="47">
        <f>IF(A74="","",'Run Plan'!J74)</f>
        <v/>
      </c>
      <c r="G74" s="56">
        <f>IF(A74="","",COUNTIF('Turn Log'!$B$5:$B$5000,A74))</f>
        <v/>
      </c>
      <c r="H74" s="56">
        <f>IF(A74="","",IFERROR(MINIFS('Turn Log'!$C$5:$C$5000,'Turn Log'!$B$5:$B$5000,A74,'Turn Log'!$Q$5:$Q$5000,"Pass"),""))</f>
        <v/>
      </c>
      <c r="I74" s="56">
        <f>IF(A74="","",IFERROR(MAXIFS('Turn Log'!$C$5:$C$5000,'Turn Log'!$B$5:$B$5000,A74),""))</f>
        <v/>
      </c>
      <c r="J74" s="56">
        <f>IF(A74="","",IFERROR(INDEX('Turn Log'!$Q$5:$Q$5000,MATCH(1,('Turn Log'!$B$5:$B$5000=A74)*('Turn Log'!$C$5:$C$5000=I74),0)),""))</f>
        <v/>
      </c>
      <c r="K74" s="56">
        <f>IF(A74="","",IFERROR(INDEX('Turn Log'!$R$5:$R$5000,MATCH(1,('Turn Log'!$B$5:$B$5000=A74)*('Turn Log'!$C$5:$C$5000=I74),0)),""))</f>
        <v/>
      </c>
      <c r="L74" s="56">
        <f>IF(A74="","",COUNTIFS('Turn Log'!$B$5:$B$5000,A74,'Turn Log'!$X$5:$X$5000,1))</f>
        <v/>
      </c>
      <c r="M74" s="56">
        <f>IF(A74="","",COUNTIFS('Turn Log'!$B$5:$B$5000,A74,'Turn Log'!$Y$5:$Y$5000,1))</f>
        <v/>
      </c>
      <c r="N74" s="56">
        <f>IF(A74="","",COUNTIFS('Turn Log'!$B$5:$B$5000,A74,'Turn Log'!$W$5:$W$5000,1))</f>
        <v/>
      </c>
      <c r="O74" s="56">
        <f>IF(H74="","No","Yes")</f>
        <v/>
      </c>
      <c r="P74" s="56">
        <f>IF(A74="","",COUNTIFS('Stability Checks'!$A$5:$A$2000,A74,'Stability Checks'!$C$5:$C$2000,"Re-execution",'Stability Checks'!$E$5:$E$2000,"Pass"))</f>
        <v/>
      </c>
      <c r="Q74" s="56">
        <f>IF(A74="","",COUNTIFS('Stability Checks'!$A$5:$A$2000,A74,'Stability Checks'!$C$5:$C$2000,"Re-prompt",'Stability Checks'!$E$5:$E$2000,"Pass"))</f>
        <v/>
      </c>
      <c r="R74" s="47">
        <f>IF(A74="","",'Run Plan'!Q74)</f>
        <v/>
      </c>
      <c r="S74" s="50" t="n"/>
    </row>
    <row r="75" ht="15.75" customHeight="1" s="40">
      <c r="A75" s="55">
        <f>IF('Run Plan'!A75="","",'Run Plan'!A75)</f>
        <v/>
      </c>
      <c r="B75" s="55">
        <f>IF(A75="","",'Run Plan'!C75)</f>
        <v/>
      </c>
      <c r="C75" s="55">
        <f>IF(A75="","",'Run Plan'!E75)</f>
        <v/>
      </c>
      <c r="D75" s="54">
        <f>IF(A75="","",'Run Plan'!G75)</f>
        <v/>
      </c>
      <c r="E75" s="47">
        <f>IF(A75="","",'Run Plan'!K75)</f>
        <v/>
      </c>
      <c r="F75" s="47">
        <f>IF(A75="","",'Run Plan'!J75)</f>
        <v/>
      </c>
      <c r="G75" s="56">
        <f>IF(A75="","",COUNTIF('Turn Log'!$B$5:$B$5000,A75))</f>
        <v/>
      </c>
      <c r="H75" s="56">
        <f>IF(A75="","",IFERROR(MINIFS('Turn Log'!$C$5:$C$5000,'Turn Log'!$B$5:$B$5000,A75,'Turn Log'!$Q$5:$Q$5000,"Pass"),""))</f>
        <v/>
      </c>
      <c r="I75" s="56">
        <f>IF(A75="","",IFERROR(MAXIFS('Turn Log'!$C$5:$C$5000,'Turn Log'!$B$5:$B$5000,A75),""))</f>
        <v/>
      </c>
      <c r="J75" s="56">
        <f>IF(A75="","",IFERROR(INDEX('Turn Log'!$Q$5:$Q$5000,MATCH(1,('Turn Log'!$B$5:$B$5000=A75)*('Turn Log'!$C$5:$C$5000=I75),0)),""))</f>
        <v/>
      </c>
      <c r="K75" s="56">
        <f>IF(A75="","",IFERROR(INDEX('Turn Log'!$R$5:$R$5000,MATCH(1,('Turn Log'!$B$5:$B$5000=A75)*('Turn Log'!$C$5:$C$5000=I75),0)),""))</f>
        <v/>
      </c>
      <c r="L75" s="56">
        <f>IF(A75="","",COUNTIFS('Turn Log'!$B$5:$B$5000,A75,'Turn Log'!$X$5:$X$5000,1))</f>
        <v/>
      </c>
      <c r="M75" s="56">
        <f>IF(A75="","",COUNTIFS('Turn Log'!$B$5:$B$5000,A75,'Turn Log'!$Y$5:$Y$5000,1))</f>
        <v/>
      </c>
      <c r="N75" s="56">
        <f>IF(A75="","",COUNTIFS('Turn Log'!$B$5:$B$5000,A75,'Turn Log'!$W$5:$W$5000,1))</f>
        <v/>
      </c>
      <c r="O75" s="56">
        <f>IF(H75="","No","Yes")</f>
        <v/>
      </c>
      <c r="P75" s="56">
        <f>IF(A75="","",COUNTIFS('Stability Checks'!$A$5:$A$2000,A75,'Stability Checks'!$C$5:$C$2000,"Re-execution",'Stability Checks'!$E$5:$E$2000,"Pass"))</f>
        <v/>
      </c>
      <c r="Q75" s="56">
        <f>IF(A75="","",COUNTIFS('Stability Checks'!$A$5:$A$2000,A75,'Stability Checks'!$C$5:$C$2000,"Re-prompt",'Stability Checks'!$E$5:$E$2000,"Pass"))</f>
        <v/>
      </c>
      <c r="R75" s="47">
        <f>IF(A75="","",'Run Plan'!Q75)</f>
        <v/>
      </c>
      <c r="S75" s="50" t="n"/>
    </row>
    <row r="76" ht="15.75" customHeight="1" s="40">
      <c r="A76" s="55">
        <f>IF('Run Plan'!A76="","",'Run Plan'!A76)</f>
        <v/>
      </c>
      <c r="B76" s="55">
        <f>IF(A76="","",'Run Plan'!C76)</f>
        <v/>
      </c>
      <c r="C76" s="55">
        <f>IF(A76="","",'Run Plan'!E76)</f>
        <v/>
      </c>
      <c r="D76" s="54">
        <f>IF(A76="","",'Run Plan'!G76)</f>
        <v/>
      </c>
      <c r="E76" s="47">
        <f>IF(A76="","",'Run Plan'!K76)</f>
        <v/>
      </c>
      <c r="F76" s="47">
        <f>IF(A76="","",'Run Plan'!J76)</f>
        <v/>
      </c>
      <c r="G76" s="56">
        <f>IF(A76="","",COUNTIF('Turn Log'!$B$5:$B$5000,A76))</f>
        <v/>
      </c>
      <c r="H76" s="56">
        <f>IF(A76="","",IFERROR(MINIFS('Turn Log'!$C$5:$C$5000,'Turn Log'!$B$5:$B$5000,A76,'Turn Log'!$Q$5:$Q$5000,"Pass"),""))</f>
        <v/>
      </c>
      <c r="I76" s="56">
        <f>IF(A76="","",IFERROR(MAXIFS('Turn Log'!$C$5:$C$5000,'Turn Log'!$B$5:$B$5000,A76),""))</f>
        <v/>
      </c>
      <c r="J76" s="56">
        <f>IF(A76="","",IFERROR(INDEX('Turn Log'!$Q$5:$Q$5000,MATCH(1,('Turn Log'!$B$5:$B$5000=A76)*('Turn Log'!$C$5:$C$5000=I76),0)),""))</f>
        <v/>
      </c>
      <c r="K76" s="56">
        <f>IF(A76="","",IFERROR(INDEX('Turn Log'!$R$5:$R$5000,MATCH(1,('Turn Log'!$B$5:$B$5000=A76)*('Turn Log'!$C$5:$C$5000=I76),0)),""))</f>
        <v/>
      </c>
      <c r="L76" s="56">
        <f>IF(A76="","",COUNTIFS('Turn Log'!$B$5:$B$5000,A76,'Turn Log'!$X$5:$X$5000,1))</f>
        <v/>
      </c>
      <c r="M76" s="56">
        <f>IF(A76="","",COUNTIFS('Turn Log'!$B$5:$B$5000,A76,'Turn Log'!$Y$5:$Y$5000,1))</f>
        <v/>
      </c>
      <c r="N76" s="56">
        <f>IF(A76="","",COUNTIFS('Turn Log'!$B$5:$B$5000,A76,'Turn Log'!$W$5:$W$5000,1))</f>
        <v/>
      </c>
      <c r="O76" s="56">
        <f>IF(H76="","No","Yes")</f>
        <v/>
      </c>
      <c r="P76" s="56">
        <f>IF(A76="","",COUNTIFS('Stability Checks'!$A$5:$A$2000,A76,'Stability Checks'!$C$5:$C$2000,"Re-execution",'Stability Checks'!$E$5:$E$2000,"Pass"))</f>
        <v/>
      </c>
      <c r="Q76" s="56">
        <f>IF(A76="","",COUNTIFS('Stability Checks'!$A$5:$A$2000,A76,'Stability Checks'!$C$5:$C$2000,"Re-prompt",'Stability Checks'!$E$5:$E$2000,"Pass"))</f>
        <v/>
      </c>
      <c r="R76" s="47">
        <f>IF(A76="","",'Run Plan'!Q76)</f>
        <v/>
      </c>
      <c r="S76" s="50" t="n"/>
    </row>
    <row r="77" ht="15.75" customHeight="1" s="40">
      <c r="A77" s="55">
        <f>IF('Run Plan'!A77="","",'Run Plan'!A77)</f>
        <v/>
      </c>
      <c r="B77" s="55">
        <f>IF(A77="","",'Run Plan'!C77)</f>
        <v/>
      </c>
      <c r="C77" s="55">
        <f>IF(A77="","",'Run Plan'!E77)</f>
        <v/>
      </c>
      <c r="D77" s="54">
        <f>IF(A77="","",'Run Plan'!G77)</f>
        <v/>
      </c>
      <c r="E77" s="47">
        <f>IF(A77="","",'Run Plan'!K77)</f>
        <v/>
      </c>
      <c r="F77" s="47">
        <f>IF(A77="","",'Run Plan'!J77)</f>
        <v/>
      </c>
      <c r="G77" s="56">
        <f>IF(A77="","",COUNTIF('Turn Log'!$B$5:$B$5000,A77))</f>
        <v/>
      </c>
      <c r="H77" s="56">
        <f>IF(A77="","",IFERROR(MINIFS('Turn Log'!$C$5:$C$5000,'Turn Log'!$B$5:$B$5000,A77,'Turn Log'!$Q$5:$Q$5000,"Pass"),""))</f>
        <v/>
      </c>
      <c r="I77" s="56">
        <f>IF(A77="","",IFERROR(MAXIFS('Turn Log'!$C$5:$C$5000,'Turn Log'!$B$5:$B$5000,A77),""))</f>
        <v/>
      </c>
      <c r="J77" s="56">
        <f>IF(A77="","",IFERROR(INDEX('Turn Log'!$Q$5:$Q$5000,MATCH(1,('Turn Log'!$B$5:$B$5000=A77)*('Turn Log'!$C$5:$C$5000=I77),0)),""))</f>
        <v/>
      </c>
      <c r="K77" s="56">
        <f>IF(A77="","",IFERROR(INDEX('Turn Log'!$R$5:$R$5000,MATCH(1,('Turn Log'!$B$5:$B$5000=A77)*('Turn Log'!$C$5:$C$5000=I77),0)),""))</f>
        <v/>
      </c>
      <c r="L77" s="56">
        <f>IF(A77="","",COUNTIFS('Turn Log'!$B$5:$B$5000,A77,'Turn Log'!$X$5:$X$5000,1))</f>
        <v/>
      </c>
      <c r="M77" s="56">
        <f>IF(A77="","",COUNTIFS('Turn Log'!$B$5:$B$5000,A77,'Turn Log'!$Y$5:$Y$5000,1))</f>
        <v/>
      </c>
      <c r="N77" s="56">
        <f>IF(A77="","",COUNTIFS('Turn Log'!$B$5:$B$5000,A77,'Turn Log'!$W$5:$W$5000,1))</f>
        <v/>
      </c>
      <c r="O77" s="56">
        <f>IF(H77="","No","Yes")</f>
        <v/>
      </c>
      <c r="P77" s="56">
        <f>IF(A77="","",COUNTIFS('Stability Checks'!$A$5:$A$2000,A77,'Stability Checks'!$C$5:$C$2000,"Re-execution",'Stability Checks'!$E$5:$E$2000,"Pass"))</f>
        <v/>
      </c>
      <c r="Q77" s="56">
        <f>IF(A77="","",COUNTIFS('Stability Checks'!$A$5:$A$2000,A77,'Stability Checks'!$C$5:$C$2000,"Re-prompt",'Stability Checks'!$E$5:$E$2000,"Pass"))</f>
        <v/>
      </c>
      <c r="R77" s="47">
        <f>IF(A77="","",'Run Plan'!Q77)</f>
        <v/>
      </c>
      <c r="S77" s="50" t="n"/>
    </row>
    <row r="78" ht="15.75" customHeight="1" s="40">
      <c r="A78" s="55">
        <f>IF('Run Plan'!A78="","",'Run Plan'!A78)</f>
        <v/>
      </c>
      <c r="B78" s="55">
        <f>IF(A78="","",'Run Plan'!C78)</f>
        <v/>
      </c>
      <c r="C78" s="55">
        <f>IF(A78="","",'Run Plan'!E78)</f>
        <v/>
      </c>
      <c r="D78" s="54">
        <f>IF(A78="","",'Run Plan'!G78)</f>
        <v/>
      </c>
      <c r="E78" s="47">
        <f>IF(A78="","",'Run Plan'!K78)</f>
        <v/>
      </c>
      <c r="F78" s="47">
        <f>IF(A78="","",'Run Plan'!J78)</f>
        <v/>
      </c>
      <c r="G78" s="56">
        <f>IF(A78="","",COUNTIF('Turn Log'!$B$5:$B$5000,A78))</f>
        <v/>
      </c>
      <c r="H78" s="56">
        <f>IF(A78="","",IFERROR(MINIFS('Turn Log'!$C$5:$C$5000,'Turn Log'!$B$5:$B$5000,A78,'Turn Log'!$Q$5:$Q$5000,"Pass"),""))</f>
        <v/>
      </c>
      <c r="I78" s="56">
        <f>IF(A78="","",IFERROR(MAXIFS('Turn Log'!$C$5:$C$5000,'Turn Log'!$B$5:$B$5000,A78),""))</f>
        <v/>
      </c>
      <c r="J78" s="56">
        <f>IF(A78="","",IFERROR(INDEX('Turn Log'!$Q$5:$Q$5000,MATCH(1,('Turn Log'!$B$5:$B$5000=A78)*('Turn Log'!$C$5:$C$5000=I78),0)),""))</f>
        <v/>
      </c>
      <c r="K78" s="56">
        <f>IF(A78="","",IFERROR(INDEX('Turn Log'!$R$5:$R$5000,MATCH(1,('Turn Log'!$B$5:$B$5000=A78)*('Turn Log'!$C$5:$C$5000=I78),0)),""))</f>
        <v/>
      </c>
      <c r="L78" s="56">
        <f>IF(A78="","",COUNTIFS('Turn Log'!$B$5:$B$5000,A78,'Turn Log'!$X$5:$X$5000,1))</f>
        <v/>
      </c>
      <c r="M78" s="56">
        <f>IF(A78="","",COUNTIFS('Turn Log'!$B$5:$B$5000,A78,'Turn Log'!$Y$5:$Y$5000,1))</f>
        <v/>
      </c>
      <c r="N78" s="56">
        <f>IF(A78="","",COUNTIFS('Turn Log'!$B$5:$B$5000,A78,'Turn Log'!$W$5:$W$5000,1))</f>
        <v/>
      </c>
      <c r="O78" s="56">
        <f>IF(H78="","No","Yes")</f>
        <v/>
      </c>
      <c r="P78" s="56">
        <f>IF(A78="","",COUNTIFS('Stability Checks'!$A$5:$A$2000,A78,'Stability Checks'!$C$5:$C$2000,"Re-execution",'Stability Checks'!$E$5:$E$2000,"Pass"))</f>
        <v/>
      </c>
      <c r="Q78" s="56">
        <f>IF(A78="","",COUNTIFS('Stability Checks'!$A$5:$A$2000,A78,'Stability Checks'!$C$5:$C$2000,"Re-prompt",'Stability Checks'!$E$5:$E$2000,"Pass"))</f>
        <v/>
      </c>
      <c r="R78" s="47">
        <f>IF(A78="","",'Run Plan'!Q78)</f>
        <v/>
      </c>
      <c r="S78" s="50" t="n"/>
    </row>
    <row r="79" ht="15.75" customHeight="1" s="40">
      <c r="A79" s="55">
        <f>IF('Run Plan'!A79="","",'Run Plan'!A79)</f>
        <v/>
      </c>
      <c r="B79" s="55">
        <f>IF(A79="","",'Run Plan'!C79)</f>
        <v/>
      </c>
      <c r="C79" s="55">
        <f>IF(A79="","",'Run Plan'!E79)</f>
        <v/>
      </c>
      <c r="D79" s="54">
        <f>IF(A79="","",'Run Plan'!G79)</f>
        <v/>
      </c>
      <c r="E79" s="47">
        <f>IF(A79="","",'Run Plan'!K79)</f>
        <v/>
      </c>
      <c r="F79" s="47">
        <f>IF(A79="","",'Run Plan'!J79)</f>
        <v/>
      </c>
      <c r="G79" s="56">
        <f>IF(A79="","",COUNTIF('Turn Log'!$B$5:$B$5000,A79))</f>
        <v/>
      </c>
      <c r="H79" s="56">
        <f>IF(A79="","",IFERROR(MINIFS('Turn Log'!$C$5:$C$5000,'Turn Log'!$B$5:$B$5000,A79,'Turn Log'!$Q$5:$Q$5000,"Pass"),""))</f>
        <v/>
      </c>
      <c r="I79" s="56">
        <f>IF(A79="","",IFERROR(MAXIFS('Turn Log'!$C$5:$C$5000,'Turn Log'!$B$5:$B$5000,A79),""))</f>
        <v/>
      </c>
      <c r="J79" s="56">
        <f>IF(A79="","",IFERROR(INDEX('Turn Log'!$Q$5:$Q$5000,MATCH(1,('Turn Log'!$B$5:$B$5000=A79)*('Turn Log'!$C$5:$C$5000=I79),0)),""))</f>
        <v/>
      </c>
      <c r="K79" s="56">
        <f>IF(A79="","",IFERROR(INDEX('Turn Log'!$R$5:$R$5000,MATCH(1,('Turn Log'!$B$5:$B$5000=A79)*('Turn Log'!$C$5:$C$5000=I79),0)),""))</f>
        <v/>
      </c>
      <c r="L79" s="56">
        <f>IF(A79="","",COUNTIFS('Turn Log'!$B$5:$B$5000,A79,'Turn Log'!$X$5:$X$5000,1))</f>
        <v/>
      </c>
      <c r="M79" s="56">
        <f>IF(A79="","",COUNTIFS('Turn Log'!$B$5:$B$5000,A79,'Turn Log'!$Y$5:$Y$5000,1))</f>
        <v/>
      </c>
      <c r="N79" s="56">
        <f>IF(A79="","",COUNTIFS('Turn Log'!$B$5:$B$5000,A79,'Turn Log'!$W$5:$W$5000,1))</f>
        <v/>
      </c>
      <c r="O79" s="56">
        <f>IF(H79="","No","Yes")</f>
        <v/>
      </c>
      <c r="P79" s="56">
        <f>IF(A79="","",COUNTIFS('Stability Checks'!$A$5:$A$2000,A79,'Stability Checks'!$C$5:$C$2000,"Re-execution",'Stability Checks'!$E$5:$E$2000,"Pass"))</f>
        <v/>
      </c>
      <c r="Q79" s="56">
        <f>IF(A79="","",COUNTIFS('Stability Checks'!$A$5:$A$2000,A79,'Stability Checks'!$C$5:$C$2000,"Re-prompt",'Stability Checks'!$E$5:$E$2000,"Pass"))</f>
        <v/>
      </c>
      <c r="R79" s="47">
        <f>IF(A79="","",'Run Plan'!Q79)</f>
        <v/>
      </c>
      <c r="S79" s="50" t="n"/>
    </row>
    <row r="80" ht="15.75" customHeight="1" s="40">
      <c r="A80" s="55">
        <f>IF('Run Plan'!A80="","",'Run Plan'!A80)</f>
        <v/>
      </c>
      <c r="B80" s="55">
        <f>IF(A80="","",'Run Plan'!C80)</f>
        <v/>
      </c>
      <c r="C80" s="55">
        <f>IF(A80="","",'Run Plan'!E80)</f>
        <v/>
      </c>
      <c r="D80" s="54">
        <f>IF(A80="","",'Run Plan'!G80)</f>
        <v/>
      </c>
      <c r="E80" s="47">
        <f>IF(A80="","",'Run Plan'!K80)</f>
        <v/>
      </c>
      <c r="F80" s="47">
        <f>IF(A80="","",'Run Plan'!J80)</f>
        <v/>
      </c>
      <c r="G80" s="56">
        <f>IF(A80="","",COUNTIF('Turn Log'!$B$5:$B$5000,A80))</f>
        <v/>
      </c>
      <c r="H80" s="56">
        <f>IF(A80="","",IFERROR(MINIFS('Turn Log'!$C$5:$C$5000,'Turn Log'!$B$5:$B$5000,A80,'Turn Log'!$Q$5:$Q$5000,"Pass"),""))</f>
        <v/>
      </c>
      <c r="I80" s="56">
        <f>IF(A80="","",IFERROR(MAXIFS('Turn Log'!$C$5:$C$5000,'Turn Log'!$B$5:$B$5000,A80),""))</f>
        <v/>
      </c>
      <c r="J80" s="56">
        <f>IF(A80="","",IFERROR(INDEX('Turn Log'!$Q$5:$Q$5000,MATCH(1,('Turn Log'!$B$5:$B$5000=A80)*('Turn Log'!$C$5:$C$5000=I80),0)),""))</f>
        <v/>
      </c>
      <c r="K80" s="56">
        <f>IF(A80="","",IFERROR(INDEX('Turn Log'!$R$5:$R$5000,MATCH(1,('Turn Log'!$B$5:$B$5000=A80)*('Turn Log'!$C$5:$C$5000=I80),0)),""))</f>
        <v/>
      </c>
      <c r="L80" s="56">
        <f>IF(A80="","",COUNTIFS('Turn Log'!$B$5:$B$5000,A80,'Turn Log'!$X$5:$X$5000,1))</f>
        <v/>
      </c>
      <c r="M80" s="56">
        <f>IF(A80="","",COUNTIFS('Turn Log'!$B$5:$B$5000,A80,'Turn Log'!$Y$5:$Y$5000,1))</f>
        <v/>
      </c>
      <c r="N80" s="56">
        <f>IF(A80="","",COUNTIFS('Turn Log'!$B$5:$B$5000,A80,'Turn Log'!$W$5:$W$5000,1))</f>
        <v/>
      </c>
      <c r="O80" s="56">
        <f>IF(H80="","No","Yes")</f>
        <v/>
      </c>
      <c r="P80" s="56">
        <f>IF(A80="","",COUNTIFS('Stability Checks'!$A$5:$A$2000,A80,'Stability Checks'!$C$5:$C$2000,"Re-execution",'Stability Checks'!$E$5:$E$2000,"Pass"))</f>
        <v/>
      </c>
      <c r="Q80" s="56">
        <f>IF(A80="","",COUNTIFS('Stability Checks'!$A$5:$A$2000,A80,'Stability Checks'!$C$5:$C$2000,"Re-prompt",'Stability Checks'!$E$5:$E$2000,"Pass"))</f>
        <v/>
      </c>
      <c r="R80" s="47">
        <f>IF(A80="","",'Run Plan'!Q80)</f>
        <v/>
      </c>
      <c r="S80" s="50" t="n"/>
    </row>
    <row r="81" ht="15.75" customHeight="1" s="40">
      <c r="A81" s="55">
        <f>IF('Run Plan'!A81="","",'Run Plan'!A81)</f>
        <v/>
      </c>
      <c r="B81" s="55">
        <f>IF(A81="","",'Run Plan'!C81)</f>
        <v/>
      </c>
      <c r="C81" s="55">
        <f>IF(A81="","",'Run Plan'!E81)</f>
        <v/>
      </c>
      <c r="D81" s="54">
        <f>IF(A81="","",'Run Plan'!G81)</f>
        <v/>
      </c>
      <c r="E81" s="47">
        <f>IF(A81="","",'Run Plan'!K81)</f>
        <v/>
      </c>
      <c r="F81" s="47">
        <f>IF(A81="","",'Run Plan'!J81)</f>
        <v/>
      </c>
      <c r="G81" s="56">
        <f>IF(A81="","",COUNTIF('Turn Log'!$B$5:$B$5000,A81))</f>
        <v/>
      </c>
      <c r="H81" s="56">
        <f>IF(A81="","",IFERROR(MINIFS('Turn Log'!$C$5:$C$5000,'Turn Log'!$B$5:$B$5000,A81,'Turn Log'!$Q$5:$Q$5000,"Pass"),""))</f>
        <v/>
      </c>
      <c r="I81" s="56">
        <f>IF(A81="","",IFERROR(MAXIFS('Turn Log'!$C$5:$C$5000,'Turn Log'!$B$5:$B$5000,A81),""))</f>
        <v/>
      </c>
      <c r="J81" s="56">
        <f>IF(A81="","",IFERROR(INDEX('Turn Log'!$Q$5:$Q$5000,MATCH(1,('Turn Log'!$B$5:$B$5000=A81)*('Turn Log'!$C$5:$C$5000=I81),0)),""))</f>
        <v/>
      </c>
      <c r="K81" s="56">
        <f>IF(A81="","",IFERROR(INDEX('Turn Log'!$R$5:$R$5000,MATCH(1,('Turn Log'!$B$5:$B$5000=A81)*('Turn Log'!$C$5:$C$5000=I81),0)),""))</f>
        <v/>
      </c>
      <c r="L81" s="56">
        <f>IF(A81="","",COUNTIFS('Turn Log'!$B$5:$B$5000,A81,'Turn Log'!$X$5:$X$5000,1))</f>
        <v/>
      </c>
      <c r="M81" s="56">
        <f>IF(A81="","",COUNTIFS('Turn Log'!$B$5:$B$5000,A81,'Turn Log'!$Y$5:$Y$5000,1))</f>
        <v/>
      </c>
      <c r="N81" s="56">
        <f>IF(A81="","",COUNTIFS('Turn Log'!$B$5:$B$5000,A81,'Turn Log'!$W$5:$W$5000,1))</f>
        <v/>
      </c>
      <c r="O81" s="56">
        <f>IF(H81="","No","Yes")</f>
        <v/>
      </c>
      <c r="P81" s="56">
        <f>IF(A81="","",COUNTIFS('Stability Checks'!$A$5:$A$2000,A81,'Stability Checks'!$C$5:$C$2000,"Re-execution",'Stability Checks'!$E$5:$E$2000,"Pass"))</f>
        <v/>
      </c>
      <c r="Q81" s="56">
        <f>IF(A81="","",COUNTIFS('Stability Checks'!$A$5:$A$2000,A81,'Stability Checks'!$C$5:$C$2000,"Re-prompt",'Stability Checks'!$E$5:$E$2000,"Pass"))</f>
        <v/>
      </c>
      <c r="R81" s="47">
        <f>IF(A81="","",'Run Plan'!Q81)</f>
        <v/>
      </c>
      <c r="S81" s="50" t="n"/>
    </row>
    <row r="82" ht="15.75" customHeight="1" s="40">
      <c r="A82" s="55">
        <f>IF('Run Plan'!A82="","",'Run Plan'!A82)</f>
        <v/>
      </c>
      <c r="B82" s="55">
        <f>IF(A82="","",'Run Plan'!C82)</f>
        <v/>
      </c>
      <c r="C82" s="55">
        <f>IF(A82="","",'Run Plan'!E82)</f>
        <v/>
      </c>
      <c r="D82" s="54">
        <f>IF(A82="","",'Run Plan'!G82)</f>
        <v/>
      </c>
      <c r="E82" s="47">
        <f>IF(A82="","",'Run Plan'!K82)</f>
        <v/>
      </c>
      <c r="F82" s="47">
        <f>IF(A82="","",'Run Plan'!J82)</f>
        <v/>
      </c>
      <c r="G82" s="56">
        <f>IF(A82="","",COUNTIF('Turn Log'!$B$5:$B$5000,A82))</f>
        <v/>
      </c>
      <c r="H82" s="56">
        <f>IF(A82="","",IFERROR(MINIFS('Turn Log'!$C$5:$C$5000,'Turn Log'!$B$5:$B$5000,A82,'Turn Log'!$Q$5:$Q$5000,"Pass"),""))</f>
        <v/>
      </c>
      <c r="I82" s="56">
        <f>IF(A82="","",IFERROR(MAXIFS('Turn Log'!$C$5:$C$5000,'Turn Log'!$B$5:$B$5000,A82),""))</f>
        <v/>
      </c>
      <c r="J82" s="56">
        <f>IF(A82="","",IFERROR(INDEX('Turn Log'!$Q$5:$Q$5000,MATCH(1,('Turn Log'!$B$5:$B$5000=A82)*('Turn Log'!$C$5:$C$5000=I82),0)),""))</f>
        <v/>
      </c>
      <c r="K82" s="56">
        <f>IF(A82="","",IFERROR(INDEX('Turn Log'!$R$5:$R$5000,MATCH(1,('Turn Log'!$B$5:$B$5000=A82)*('Turn Log'!$C$5:$C$5000=I82),0)),""))</f>
        <v/>
      </c>
      <c r="L82" s="56">
        <f>IF(A82="","",COUNTIFS('Turn Log'!$B$5:$B$5000,A82,'Turn Log'!$X$5:$X$5000,1))</f>
        <v/>
      </c>
      <c r="M82" s="56">
        <f>IF(A82="","",COUNTIFS('Turn Log'!$B$5:$B$5000,A82,'Turn Log'!$Y$5:$Y$5000,1))</f>
        <v/>
      </c>
      <c r="N82" s="56">
        <f>IF(A82="","",COUNTIFS('Turn Log'!$B$5:$B$5000,A82,'Turn Log'!$W$5:$W$5000,1))</f>
        <v/>
      </c>
      <c r="O82" s="56">
        <f>IF(H82="","No","Yes")</f>
        <v/>
      </c>
      <c r="P82" s="56">
        <f>IF(A82="","",COUNTIFS('Stability Checks'!$A$5:$A$2000,A82,'Stability Checks'!$C$5:$C$2000,"Re-execution",'Stability Checks'!$E$5:$E$2000,"Pass"))</f>
        <v/>
      </c>
      <c r="Q82" s="56">
        <f>IF(A82="","",COUNTIFS('Stability Checks'!$A$5:$A$2000,A82,'Stability Checks'!$C$5:$C$2000,"Re-prompt",'Stability Checks'!$E$5:$E$2000,"Pass"))</f>
        <v/>
      </c>
      <c r="R82" s="47">
        <f>IF(A82="","",'Run Plan'!Q82)</f>
        <v/>
      </c>
      <c r="S82" s="50" t="n"/>
    </row>
    <row r="83" ht="15.75" customHeight="1" s="40">
      <c r="A83" s="55">
        <f>IF('Run Plan'!A83="","",'Run Plan'!A83)</f>
        <v/>
      </c>
      <c r="B83" s="55">
        <f>IF(A83="","",'Run Plan'!C83)</f>
        <v/>
      </c>
      <c r="C83" s="55">
        <f>IF(A83="","",'Run Plan'!E83)</f>
        <v/>
      </c>
      <c r="D83" s="54">
        <f>IF(A83="","",'Run Plan'!G83)</f>
        <v/>
      </c>
      <c r="E83" s="47">
        <f>IF(A83="","",'Run Plan'!K83)</f>
        <v/>
      </c>
      <c r="F83" s="47">
        <f>IF(A83="","",'Run Plan'!J83)</f>
        <v/>
      </c>
      <c r="G83" s="56">
        <f>IF(A83="","",COUNTIF('Turn Log'!$B$5:$B$5000,A83))</f>
        <v/>
      </c>
      <c r="H83" s="56">
        <f>IF(A83="","",IFERROR(MINIFS('Turn Log'!$C$5:$C$5000,'Turn Log'!$B$5:$B$5000,A83,'Turn Log'!$Q$5:$Q$5000,"Pass"),""))</f>
        <v/>
      </c>
      <c r="I83" s="56">
        <f>IF(A83="","",IFERROR(MAXIFS('Turn Log'!$C$5:$C$5000,'Turn Log'!$B$5:$B$5000,A83),""))</f>
        <v/>
      </c>
      <c r="J83" s="56">
        <f>IF(A83="","",IFERROR(INDEX('Turn Log'!$Q$5:$Q$5000,MATCH(1,('Turn Log'!$B$5:$B$5000=A83)*('Turn Log'!$C$5:$C$5000=I83),0)),""))</f>
        <v/>
      </c>
      <c r="K83" s="56">
        <f>IF(A83="","",IFERROR(INDEX('Turn Log'!$R$5:$R$5000,MATCH(1,('Turn Log'!$B$5:$B$5000=A83)*('Turn Log'!$C$5:$C$5000=I83),0)),""))</f>
        <v/>
      </c>
      <c r="L83" s="56">
        <f>IF(A83="","",COUNTIFS('Turn Log'!$B$5:$B$5000,A83,'Turn Log'!$X$5:$X$5000,1))</f>
        <v/>
      </c>
      <c r="M83" s="56">
        <f>IF(A83="","",COUNTIFS('Turn Log'!$B$5:$B$5000,A83,'Turn Log'!$Y$5:$Y$5000,1))</f>
        <v/>
      </c>
      <c r="N83" s="56">
        <f>IF(A83="","",COUNTIFS('Turn Log'!$B$5:$B$5000,A83,'Turn Log'!$W$5:$W$5000,1))</f>
        <v/>
      </c>
      <c r="O83" s="56">
        <f>IF(H83="","No","Yes")</f>
        <v/>
      </c>
      <c r="P83" s="56">
        <f>IF(A83="","",COUNTIFS('Stability Checks'!$A$5:$A$2000,A83,'Stability Checks'!$C$5:$C$2000,"Re-execution",'Stability Checks'!$E$5:$E$2000,"Pass"))</f>
        <v/>
      </c>
      <c r="Q83" s="56">
        <f>IF(A83="","",COUNTIFS('Stability Checks'!$A$5:$A$2000,A83,'Stability Checks'!$C$5:$C$2000,"Re-prompt",'Stability Checks'!$E$5:$E$2000,"Pass"))</f>
        <v/>
      </c>
      <c r="R83" s="47">
        <f>IF(A83="","",'Run Plan'!Q83)</f>
        <v/>
      </c>
      <c r="S83" s="50" t="n"/>
    </row>
    <row r="84" ht="15.75" customHeight="1" s="40">
      <c r="A84" s="55">
        <f>IF('Run Plan'!A84="","",'Run Plan'!A84)</f>
        <v/>
      </c>
      <c r="B84" s="55">
        <f>IF(A84="","",'Run Plan'!C84)</f>
        <v/>
      </c>
      <c r="C84" s="55">
        <f>IF(A84="","",'Run Plan'!E84)</f>
        <v/>
      </c>
      <c r="D84" s="54">
        <f>IF(A84="","",'Run Plan'!G84)</f>
        <v/>
      </c>
      <c r="E84" s="47">
        <f>IF(A84="","",'Run Plan'!K84)</f>
        <v/>
      </c>
      <c r="F84" s="47">
        <f>IF(A84="","",'Run Plan'!J84)</f>
        <v/>
      </c>
      <c r="G84" s="56">
        <f>IF(A84="","",COUNTIF('Turn Log'!$B$5:$B$5000,A84))</f>
        <v/>
      </c>
      <c r="H84" s="56">
        <f>IF(A84="","",IFERROR(MINIFS('Turn Log'!$C$5:$C$5000,'Turn Log'!$B$5:$B$5000,A84,'Turn Log'!$Q$5:$Q$5000,"Pass"),""))</f>
        <v/>
      </c>
      <c r="I84" s="56">
        <f>IF(A84="","",IFERROR(MAXIFS('Turn Log'!$C$5:$C$5000,'Turn Log'!$B$5:$B$5000,A84),""))</f>
        <v/>
      </c>
      <c r="J84" s="56">
        <f>IF(A84="","",IFERROR(INDEX('Turn Log'!$Q$5:$Q$5000,MATCH(1,('Turn Log'!$B$5:$B$5000=A84)*('Turn Log'!$C$5:$C$5000=I84),0)),""))</f>
        <v/>
      </c>
      <c r="K84" s="56">
        <f>IF(A84="","",IFERROR(INDEX('Turn Log'!$R$5:$R$5000,MATCH(1,('Turn Log'!$B$5:$B$5000=A84)*('Turn Log'!$C$5:$C$5000=I84),0)),""))</f>
        <v/>
      </c>
      <c r="L84" s="56">
        <f>IF(A84="","",COUNTIFS('Turn Log'!$B$5:$B$5000,A84,'Turn Log'!$X$5:$X$5000,1))</f>
        <v/>
      </c>
      <c r="M84" s="56">
        <f>IF(A84="","",COUNTIFS('Turn Log'!$B$5:$B$5000,A84,'Turn Log'!$Y$5:$Y$5000,1))</f>
        <v/>
      </c>
      <c r="N84" s="56">
        <f>IF(A84="","",COUNTIFS('Turn Log'!$B$5:$B$5000,A84,'Turn Log'!$W$5:$W$5000,1))</f>
        <v/>
      </c>
      <c r="O84" s="56">
        <f>IF(H84="","No","Yes")</f>
        <v/>
      </c>
      <c r="P84" s="56">
        <f>IF(A84="","",COUNTIFS('Stability Checks'!$A$5:$A$2000,A84,'Stability Checks'!$C$5:$C$2000,"Re-execution",'Stability Checks'!$E$5:$E$2000,"Pass"))</f>
        <v/>
      </c>
      <c r="Q84" s="56">
        <f>IF(A84="","",COUNTIFS('Stability Checks'!$A$5:$A$2000,A84,'Stability Checks'!$C$5:$C$2000,"Re-prompt",'Stability Checks'!$E$5:$E$2000,"Pass"))</f>
        <v/>
      </c>
      <c r="R84" s="47">
        <f>IF(A84="","",'Run Plan'!Q84)</f>
        <v/>
      </c>
      <c r="S84" s="50" t="n"/>
    </row>
    <row r="85" ht="15.75" customHeight="1" s="40">
      <c r="A85" s="55">
        <f>IF('Run Plan'!A85="","",'Run Plan'!A85)</f>
        <v/>
      </c>
      <c r="B85" s="55">
        <f>IF(A85="","",'Run Plan'!C85)</f>
        <v/>
      </c>
      <c r="C85" s="55">
        <f>IF(A85="","",'Run Plan'!E85)</f>
        <v/>
      </c>
      <c r="D85" s="54">
        <f>IF(A85="","",'Run Plan'!G85)</f>
        <v/>
      </c>
      <c r="E85" s="47">
        <f>IF(A85="","",'Run Plan'!K85)</f>
        <v/>
      </c>
      <c r="F85" s="47">
        <f>IF(A85="","",'Run Plan'!J85)</f>
        <v/>
      </c>
      <c r="G85" s="56">
        <f>IF(A85="","",COUNTIF('Turn Log'!$B$5:$B$5000,A85))</f>
        <v/>
      </c>
      <c r="H85" s="56">
        <f>IF(A85="","",IFERROR(MINIFS('Turn Log'!$C$5:$C$5000,'Turn Log'!$B$5:$B$5000,A85,'Turn Log'!$Q$5:$Q$5000,"Pass"),""))</f>
        <v/>
      </c>
      <c r="I85" s="56">
        <f>IF(A85="","",IFERROR(MAXIFS('Turn Log'!$C$5:$C$5000,'Turn Log'!$B$5:$B$5000,A85),""))</f>
        <v/>
      </c>
      <c r="J85" s="56">
        <f>IF(A85="","",IFERROR(INDEX('Turn Log'!$Q$5:$Q$5000,MATCH(1,('Turn Log'!$B$5:$B$5000=A85)*('Turn Log'!$C$5:$C$5000=I85),0)),""))</f>
        <v/>
      </c>
      <c r="K85" s="56">
        <f>IF(A85="","",IFERROR(INDEX('Turn Log'!$R$5:$R$5000,MATCH(1,('Turn Log'!$B$5:$B$5000=A85)*('Turn Log'!$C$5:$C$5000=I85),0)),""))</f>
        <v/>
      </c>
      <c r="L85" s="56">
        <f>IF(A85="","",COUNTIFS('Turn Log'!$B$5:$B$5000,A85,'Turn Log'!$X$5:$X$5000,1))</f>
        <v/>
      </c>
      <c r="M85" s="56">
        <f>IF(A85="","",COUNTIFS('Turn Log'!$B$5:$B$5000,A85,'Turn Log'!$Y$5:$Y$5000,1))</f>
        <v/>
      </c>
      <c r="N85" s="56">
        <f>IF(A85="","",COUNTIFS('Turn Log'!$B$5:$B$5000,A85,'Turn Log'!$W$5:$W$5000,1))</f>
        <v/>
      </c>
      <c r="O85" s="56">
        <f>IF(H85="","No","Yes")</f>
        <v/>
      </c>
      <c r="P85" s="56">
        <f>IF(A85="","",COUNTIFS('Stability Checks'!$A$5:$A$2000,A85,'Stability Checks'!$C$5:$C$2000,"Re-execution",'Stability Checks'!$E$5:$E$2000,"Pass"))</f>
        <v/>
      </c>
      <c r="Q85" s="56">
        <f>IF(A85="","",COUNTIFS('Stability Checks'!$A$5:$A$2000,A85,'Stability Checks'!$C$5:$C$2000,"Re-prompt",'Stability Checks'!$E$5:$E$2000,"Pass"))</f>
        <v/>
      </c>
      <c r="R85" s="47">
        <f>IF(A85="","",'Run Plan'!Q85)</f>
        <v/>
      </c>
      <c r="S85" s="50" t="n"/>
    </row>
    <row r="86" ht="15.75" customHeight="1" s="40">
      <c r="A86" s="55">
        <f>IF('Run Plan'!A86="","",'Run Plan'!A86)</f>
        <v/>
      </c>
      <c r="B86" s="55">
        <f>IF(A86="","",'Run Plan'!C86)</f>
        <v/>
      </c>
      <c r="C86" s="55">
        <f>IF(A86="","",'Run Plan'!E86)</f>
        <v/>
      </c>
      <c r="D86" s="54">
        <f>IF(A86="","",'Run Plan'!G86)</f>
        <v/>
      </c>
      <c r="E86" s="47">
        <f>IF(A86="","",'Run Plan'!K86)</f>
        <v/>
      </c>
      <c r="F86" s="47">
        <f>IF(A86="","",'Run Plan'!J86)</f>
        <v/>
      </c>
      <c r="G86" s="56">
        <f>IF(A86="","",COUNTIF('Turn Log'!$B$5:$B$5000,A86))</f>
        <v/>
      </c>
      <c r="H86" s="56">
        <f>IF(A86="","",IFERROR(MINIFS('Turn Log'!$C$5:$C$5000,'Turn Log'!$B$5:$B$5000,A86,'Turn Log'!$Q$5:$Q$5000,"Pass"),""))</f>
        <v/>
      </c>
      <c r="I86" s="56">
        <f>IF(A86="","",IFERROR(MAXIFS('Turn Log'!$C$5:$C$5000,'Turn Log'!$B$5:$B$5000,A86),""))</f>
        <v/>
      </c>
      <c r="J86" s="56">
        <f>IF(A86="","",IFERROR(INDEX('Turn Log'!$Q$5:$Q$5000,MATCH(1,('Turn Log'!$B$5:$B$5000=A86)*('Turn Log'!$C$5:$C$5000=I86),0)),""))</f>
        <v/>
      </c>
      <c r="K86" s="56">
        <f>IF(A86="","",IFERROR(INDEX('Turn Log'!$R$5:$R$5000,MATCH(1,('Turn Log'!$B$5:$B$5000=A86)*('Turn Log'!$C$5:$C$5000=I86),0)),""))</f>
        <v/>
      </c>
      <c r="L86" s="56">
        <f>IF(A86="","",COUNTIFS('Turn Log'!$B$5:$B$5000,A86,'Turn Log'!$X$5:$X$5000,1))</f>
        <v/>
      </c>
      <c r="M86" s="56">
        <f>IF(A86="","",COUNTIFS('Turn Log'!$B$5:$B$5000,A86,'Turn Log'!$Y$5:$Y$5000,1))</f>
        <v/>
      </c>
      <c r="N86" s="56">
        <f>IF(A86="","",COUNTIFS('Turn Log'!$B$5:$B$5000,A86,'Turn Log'!$W$5:$W$5000,1))</f>
        <v/>
      </c>
      <c r="O86" s="56">
        <f>IF(H86="","No","Yes")</f>
        <v/>
      </c>
      <c r="P86" s="56">
        <f>IF(A86="","",COUNTIFS('Stability Checks'!$A$5:$A$2000,A86,'Stability Checks'!$C$5:$C$2000,"Re-execution",'Stability Checks'!$E$5:$E$2000,"Pass"))</f>
        <v/>
      </c>
      <c r="Q86" s="56">
        <f>IF(A86="","",COUNTIFS('Stability Checks'!$A$5:$A$2000,A86,'Stability Checks'!$C$5:$C$2000,"Re-prompt",'Stability Checks'!$E$5:$E$2000,"Pass"))</f>
        <v/>
      </c>
      <c r="R86" s="47">
        <f>IF(A86="","",'Run Plan'!Q86)</f>
        <v/>
      </c>
      <c r="S86" s="50" t="n"/>
    </row>
    <row r="87" ht="15.75" customHeight="1" s="40">
      <c r="A87" s="55">
        <f>IF('Run Plan'!A87="","",'Run Plan'!A87)</f>
        <v/>
      </c>
      <c r="B87" s="55">
        <f>IF(A87="","",'Run Plan'!C87)</f>
        <v/>
      </c>
      <c r="C87" s="55">
        <f>IF(A87="","",'Run Plan'!E87)</f>
        <v/>
      </c>
      <c r="D87" s="54">
        <f>IF(A87="","",'Run Plan'!G87)</f>
        <v/>
      </c>
      <c r="E87" s="47">
        <f>IF(A87="","",'Run Plan'!K87)</f>
        <v/>
      </c>
      <c r="F87" s="47">
        <f>IF(A87="","",'Run Plan'!J87)</f>
        <v/>
      </c>
      <c r="G87" s="56">
        <f>IF(A87="","",COUNTIF('Turn Log'!$B$5:$B$5000,A87))</f>
        <v/>
      </c>
      <c r="H87" s="56">
        <f>IF(A87="","",IFERROR(MINIFS('Turn Log'!$C$5:$C$5000,'Turn Log'!$B$5:$B$5000,A87,'Turn Log'!$Q$5:$Q$5000,"Pass"),""))</f>
        <v/>
      </c>
      <c r="I87" s="56">
        <f>IF(A87="","",IFERROR(MAXIFS('Turn Log'!$C$5:$C$5000,'Turn Log'!$B$5:$B$5000,A87),""))</f>
        <v/>
      </c>
      <c r="J87" s="56">
        <f>IF(A87="","",IFERROR(INDEX('Turn Log'!$Q$5:$Q$5000,MATCH(1,('Turn Log'!$B$5:$B$5000=A87)*('Turn Log'!$C$5:$C$5000=I87),0)),""))</f>
        <v/>
      </c>
      <c r="K87" s="56">
        <f>IF(A87="","",IFERROR(INDEX('Turn Log'!$R$5:$R$5000,MATCH(1,('Turn Log'!$B$5:$B$5000=A87)*('Turn Log'!$C$5:$C$5000=I87),0)),""))</f>
        <v/>
      </c>
      <c r="L87" s="56">
        <f>IF(A87="","",COUNTIFS('Turn Log'!$B$5:$B$5000,A87,'Turn Log'!$X$5:$X$5000,1))</f>
        <v/>
      </c>
      <c r="M87" s="56">
        <f>IF(A87="","",COUNTIFS('Turn Log'!$B$5:$B$5000,A87,'Turn Log'!$Y$5:$Y$5000,1))</f>
        <v/>
      </c>
      <c r="N87" s="56">
        <f>IF(A87="","",COUNTIFS('Turn Log'!$B$5:$B$5000,A87,'Turn Log'!$W$5:$W$5000,1))</f>
        <v/>
      </c>
      <c r="O87" s="56">
        <f>IF(H87="","No","Yes")</f>
        <v/>
      </c>
      <c r="P87" s="56">
        <f>IF(A87="","",COUNTIFS('Stability Checks'!$A$5:$A$2000,A87,'Stability Checks'!$C$5:$C$2000,"Re-execution",'Stability Checks'!$E$5:$E$2000,"Pass"))</f>
        <v/>
      </c>
      <c r="Q87" s="56">
        <f>IF(A87="","",COUNTIFS('Stability Checks'!$A$5:$A$2000,A87,'Stability Checks'!$C$5:$C$2000,"Re-prompt",'Stability Checks'!$E$5:$E$2000,"Pass"))</f>
        <v/>
      </c>
      <c r="R87" s="47">
        <f>IF(A87="","",'Run Plan'!Q87)</f>
        <v/>
      </c>
      <c r="S87" s="50" t="n"/>
    </row>
    <row r="88" ht="15.75" customHeight="1" s="40">
      <c r="A88" s="55">
        <f>IF('Run Plan'!A88="","",'Run Plan'!A88)</f>
        <v/>
      </c>
      <c r="B88" s="55">
        <f>IF(A88="","",'Run Plan'!C88)</f>
        <v/>
      </c>
      <c r="C88" s="55">
        <f>IF(A88="","",'Run Plan'!E88)</f>
        <v/>
      </c>
      <c r="D88" s="54">
        <f>IF(A88="","",'Run Plan'!G88)</f>
        <v/>
      </c>
      <c r="E88" s="47">
        <f>IF(A88="","",'Run Plan'!K88)</f>
        <v/>
      </c>
      <c r="F88" s="47">
        <f>IF(A88="","",'Run Plan'!J88)</f>
        <v/>
      </c>
      <c r="G88" s="56">
        <f>IF(A88="","",COUNTIF('Turn Log'!$B$5:$B$5000,A88))</f>
        <v/>
      </c>
      <c r="H88" s="56">
        <f>IF(A88="","",IFERROR(MINIFS('Turn Log'!$C$5:$C$5000,'Turn Log'!$B$5:$B$5000,A88,'Turn Log'!$Q$5:$Q$5000,"Pass"),""))</f>
        <v/>
      </c>
      <c r="I88" s="56">
        <f>IF(A88="","",IFERROR(MAXIFS('Turn Log'!$C$5:$C$5000,'Turn Log'!$B$5:$B$5000,A88),""))</f>
        <v/>
      </c>
      <c r="J88" s="56">
        <f>IF(A88="","",IFERROR(INDEX('Turn Log'!$Q$5:$Q$5000,MATCH(1,('Turn Log'!$B$5:$B$5000=A88)*('Turn Log'!$C$5:$C$5000=I88),0)),""))</f>
        <v/>
      </c>
      <c r="K88" s="56">
        <f>IF(A88="","",IFERROR(INDEX('Turn Log'!$R$5:$R$5000,MATCH(1,('Turn Log'!$B$5:$B$5000=A88)*('Turn Log'!$C$5:$C$5000=I88),0)),""))</f>
        <v/>
      </c>
      <c r="L88" s="56">
        <f>IF(A88="","",COUNTIFS('Turn Log'!$B$5:$B$5000,A88,'Turn Log'!$X$5:$X$5000,1))</f>
        <v/>
      </c>
      <c r="M88" s="56">
        <f>IF(A88="","",COUNTIFS('Turn Log'!$B$5:$B$5000,A88,'Turn Log'!$Y$5:$Y$5000,1))</f>
        <v/>
      </c>
      <c r="N88" s="56">
        <f>IF(A88="","",COUNTIFS('Turn Log'!$B$5:$B$5000,A88,'Turn Log'!$W$5:$W$5000,1))</f>
        <v/>
      </c>
      <c r="O88" s="56">
        <f>IF(H88="","No","Yes")</f>
        <v/>
      </c>
      <c r="P88" s="56">
        <f>IF(A88="","",COUNTIFS('Stability Checks'!$A$5:$A$2000,A88,'Stability Checks'!$C$5:$C$2000,"Re-execution",'Stability Checks'!$E$5:$E$2000,"Pass"))</f>
        <v/>
      </c>
      <c r="Q88" s="56">
        <f>IF(A88="","",COUNTIFS('Stability Checks'!$A$5:$A$2000,A88,'Stability Checks'!$C$5:$C$2000,"Re-prompt",'Stability Checks'!$E$5:$E$2000,"Pass"))</f>
        <v/>
      </c>
      <c r="R88" s="47">
        <f>IF(A88="","",'Run Plan'!Q88)</f>
        <v/>
      </c>
      <c r="S88" s="50" t="n"/>
    </row>
    <row r="89" ht="15.75" customHeight="1" s="40">
      <c r="A89" s="55">
        <f>IF('Run Plan'!A89="","",'Run Plan'!A89)</f>
        <v/>
      </c>
      <c r="B89" s="55">
        <f>IF(A89="","",'Run Plan'!C89)</f>
        <v/>
      </c>
      <c r="C89" s="55">
        <f>IF(A89="","",'Run Plan'!E89)</f>
        <v/>
      </c>
      <c r="D89" s="54">
        <f>IF(A89="","",'Run Plan'!G89)</f>
        <v/>
      </c>
      <c r="E89" s="47">
        <f>IF(A89="","",'Run Plan'!K89)</f>
        <v/>
      </c>
      <c r="F89" s="47">
        <f>IF(A89="","",'Run Plan'!J89)</f>
        <v/>
      </c>
      <c r="G89" s="56">
        <f>IF(A89="","",COUNTIF('Turn Log'!$B$5:$B$5000,A89))</f>
        <v/>
      </c>
      <c r="H89" s="56">
        <f>IF(A89="","",IFERROR(MINIFS('Turn Log'!$C$5:$C$5000,'Turn Log'!$B$5:$B$5000,A89,'Turn Log'!$Q$5:$Q$5000,"Pass"),""))</f>
        <v/>
      </c>
      <c r="I89" s="56">
        <f>IF(A89="","",IFERROR(MAXIFS('Turn Log'!$C$5:$C$5000,'Turn Log'!$B$5:$B$5000,A89),""))</f>
        <v/>
      </c>
      <c r="J89" s="56">
        <f>IF(A89="","",IFERROR(INDEX('Turn Log'!$Q$5:$Q$5000,MATCH(1,('Turn Log'!$B$5:$B$5000=A89)*('Turn Log'!$C$5:$C$5000=I89),0)),""))</f>
        <v/>
      </c>
      <c r="K89" s="56">
        <f>IF(A89="","",IFERROR(INDEX('Turn Log'!$R$5:$R$5000,MATCH(1,('Turn Log'!$B$5:$B$5000=A89)*('Turn Log'!$C$5:$C$5000=I89),0)),""))</f>
        <v/>
      </c>
      <c r="L89" s="56">
        <f>IF(A89="","",COUNTIFS('Turn Log'!$B$5:$B$5000,A89,'Turn Log'!$X$5:$X$5000,1))</f>
        <v/>
      </c>
      <c r="M89" s="56">
        <f>IF(A89="","",COUNTIFS('Turn Log'!$B$5:$B$5000,A89,'Turn Log'!$Y$5:$Y$5000,1))</f>
        <v/>
      </c>
      <c r="N89" s="56">
        <f>IF(A89="","",COUNTIFS('Turn Log'!$B$5:$B$5000,A89,'Turn Log'!$W$5:$W$5000,1))</f>
        <v/>
      </c>
      <c r="O89" s="56">
        <f>IF(H89="","No","Yes")</f>
        <v/>
      </c>
      <c r="P89" s="56">
        <f>IF(A89="","",COUNTIFS('Stability Checks'!$A$5:$A$2000,A89,'Stability Checks'!$C$5:$C$2000,"Re-execution",'Stability Checks'!$E$5:$E$2000,"Pass"))</f>
        <v/>
      </c>
      <c r="Q89" s="56">
        <f>IF(A89="","",COUNTIFS('Stability Checks'!$A$5:$A$2000,A89,'Stability Checks'!$C$5:$C$2000,"Re-prompt",'Stability Checks'!$E$5:$E$2000,"Pass"))</f>
        <v/>
      </c>
      <c r="R89" s="47">
        <f>IF(A89="","",'Run Plan'!Q89)</f>
        <v/>
      </c>
      <c r="S89" s="50" t="n"/>
    </row>
    <row r="90" ht="15.75" customHeight="1" s="40">
      <c r="A90" s="55">
        <f>IF('Run Plan'!A90="","",'Run Plan'!A90)</f>
        <v/>
      </c>
      <c r="B90" s="55">
        <f>IF(A90="","",'Run Plan'!C90)</f>
        <v/>
      </c>
      <c r="C90" s="55">
        <f>IF(A90="","",'Run Plan'!E90)</f>
        <v/>
      </c>
      <c r="D90" s="54">
        <f>IF(A90="","",'Run Plan'!G90)</f>
        <v/>
      </c>
      <c r="E90" s="47">
        <f>IF(A90="","",'Run Plan'!K90)</f>
        <v/>
      </c>
      <c r="F90" s="47">
        <f>IF(A90="","",'Run Plan'!J90)</f>
        <v/>
      </c>
      <c r="G90" s="56">
        <f>IF(A90="","",COUNTIF('Turn Log'!$B$5:$B$5000,A90))</f>
        <v/>
      </c>
      <c r="H90" s="56">
        <f>IF(A90="","",IFERROR(MINIFS('Turn Log'!$C$5:$C$5000,'Turn Log'!$B$5:$B$5000,A90,'Turn Log'!$Q$5:$Q$5000,"Pass"),""))</f>
        <v/>
      </c>
      <c r="I90" s="56">
        <f>IF(A90="","",IFERROR(MAXIFS('Turn Log'!$C$5:$C$5000,'Turn Log'!$B$5:$B$5000,A90),""))</f>
        <v/>
      </c>
      <c r="J90" s="56">
        <f>IF(A90="","",IFERROR(INDEX('Turn Log'!$Q$5:$Q$5000,MATCH(1,('Turn Log'!$B$5:$B$5000=A90)*('Turn Log'!$C$5:$C$5000=I90),0)),""))</f>
        <v/>
      </c>
      <c r="K90" s="56">
        <f>IF(A90="","",IFERROR(INDEX('Turn Log'!$R$5:$R$5000,MATCH(1,('Turn Log'!$B$5:$B$5000=A90)*('Turn Log'!$C$5:$C$5000=I90),0)),""))</f>
        <v/>
      </c>
      <c r="L90" s="56">
        <f>IF(A90="","",COUNTIFS('Turn Log'!$B$5:$B$5000,A90,'Turn Log'!$X$5:$X$5000,1))</f>
        <v/>
      </c>
      <c r="M90" s="56">
        <f>IF(A90="","",COUNTIFS('Turn Log'!$B$5:$B$5000,A90,'Turn Log'!$Y$5:$Y$5000,1))</f>
        <v/>
      </c>
      <c r="N90" s="56">
        <f>IF(A90="","",COUNTIFS('Turn Log'!$B$5:$B$5000,A90,'Turn Log'!$W$5:$W$5000,1))</f>
        <v/>
      </c>
      <c r="O90" s="56">
        <f>IF(H90="","No","Yes")</f>
        <v/>
      </c>
      <c r="P90" s="56">
        <f>IF(A90="","",COUNTIFS('Stability Checks'!$A$5:$A$2000,A90,'Stability Checks'!$C$5:$C$2000,"Re-execution",'Stability Checks'!$E$5:$E$2000,"Pass"))</f>
        <v/>
      </c>
      <c r="Q90" s="56">
        <f>IF(A90="","",COUNTIFS('Stability Checks'!$A$5:$A$2000,A90,'Stability Checks'!$C$5:$C$2000,"Re-prompt",'Stability Checks'!$E$5:$E$2000,"Pass"))</f>
        <v/>
      </c>
      <c r="R90" s="47">
        <f>IF(A90="","",'Run Plan'!Q90)</f>
        <v/>
      </c>
      <c r="S90" s="50" t="n"/>
    </row>
    <row r="91" ht="15.75" customHeight="1" s="40">
      <c r="A91" s="55">
        <f>IF('Run Plan'!A91="","",'Run Plan'!A91)</f>
        <v/>
      </c>
      <c r="B91" s="55">
        <f>IF(A91="","",'Run Plan'!C91)</f>
        <v/>
      </c>
      <c r="C91" s="55">
        <f>IF(A91="","",'Run Plan'!E91)</f>
        <v/>
      </c>
      <c r="D91" s="54">
        <f>IF(A91="","",'Run Plan'!G91)</f>
        <v/>
      </c>
      <c r="E91" s="47">
        <f>IF(A91="","",'Run Plan'!K91)</f>
        <v/>
      </c>
      <c r="F91" s="47">
        <f>IF(A91="","",'Run Plan'!J91)</f>
        <v/>
      </c>
      <c r="G91" s="56">
        <f>IF(A91="","",COUNTIF('Turn Log'!$B$5:$B$5000,A91))</f>
        <v/>
      </c>
      <c r="H91" s="56">
        <f>IF(A91="","",IFERROR(MINIFS('Turn Log'!$C$5:$C$5000,'Turn Log'!$B$5:$B$5000,A91,'Turn Log'!$Q$5:$Q$5000,"Pass"),""))</f>
        <v/>
      </c>
      <c r="I91" s="56">
        <f>IF(A91="","",IFERROR(MAXIFS('Turn Log'!$C$5:$C$5000,'Turn Log'!$B$5:$B$5000,A91),""))</f>
        <v/>
      </c>
      <c r="J91" s="56">
        <f>IF(A91="","",IFERROR(INDEX('Turn Log'!$Q$5:$Q$5000,MATCH(1,('Turn Log'!$B$5:$B$5000=A91)*('Turn Log'!$C$5:$C$5000=I91),0)),""))</f>
        <v/>
      </c>
      <c r="K91" s="56">
        <f>IF(A91="","",IFERROR(INDEX('Turn Log'!$R$5:$R$5000,MATCH(1,('Turn Log'!$B$5:$B$5000=A91)*('Turn Log'!$C$5:$C$5000=I91),0)),""))</f>
        <v/>
      </c>
      <c r="L91" s="56">
        <f>IF(A91="","",COUNTIFS('Turn Log'!$B$5:$B$5000,A91,'Turn Log'!$X$5:$X$5000,1))</f>
        <v/>
      </c>
      <c r="M91" s="56">
        <f>IF(A91="","",COUNTIFS('Turn Log'!$B$5:$B$5000,A91,'Turn Log'!$Y$5:$Y$5000,1))</f>
        <v/>
      </c>
      <c r="N91" s="56">
        <f>IF(A91="","",COUNTIFS('Turn Log'!$B$5:$B$5000,A91,'Turn Log'!$W$5:$W$5000,1))</f>
        <v/>
      </c>
      <c r="O91" s="56">
        <f>IF(H91="","No","Yes")</f>
        <v/>
      </c>
      <c r="P91" s="56">
        <f>IF(A91="","",COUNTIFS('Stability Checks'!$A$5:$A$2000,A91,'Stability Checks'!$C$5:$C$2000,"Re-execution",'Stability Checks'!$E$5:$E$2000,"Pass"))</f>
        <v/>
      </c>
      <c r="Q91" s="56">
        <f>IF(A91="","",COUNTIFS('Stability Checks'!$A$5:$A$2000,A91,'Stability Checks'!$C$5:$C$2000,"Re-prompt",'Stability Checks'!$E$5:$E$2000,"Pass"))</f>
        <v/>
      </c>
      <c r="R91" s="47">
        <f>IF(A91="","",'Run Plan'!Q91)</f>
        <v/>
      </c>
      <c r="S91" s="50" t="n"/>
    </row>
    <row r="92" ht="15.75" customHeight="1" s="40">
      <c r="A92" s="55">
        <f>IF('Run Plan'!A92="","",'Run Plan'!A92)</f>
        <v/>
      </c>
      <c r="B92" s="55">
        <f>IF(A92="","",'Run Plan'!C92)</f>
        <v/>
      </c>
      <c r="C92" s="55">
        <f>IF(A92="","",'Run Plan'!E92)</f>
        <v/>
      </c>
      <c r="D92" s="54">
        <f>IF(A92="","",'Run Plan'!G92)</f>
        <v/>
      </c>
      <c r="E92" s="47">
        <f>IF(A92="","",'Run Plan'!K92)</f>
        <v/>
      </c>
      <c r="F92" s="47">
        <f>IF(A92="","",'Run Plan'!J92)</f>
        <v/>
      </c>
      <c r="G92" s="56">
        <f>IF(A92="","",COUNTIF('Turn Log'!$B$5:$B$5000,A92))</f>
        <v/>
      </c>
      <c r="H92" s="56">
        <f>IF(A92="","",IFERROR(MINIFS('Turn Log'!$C$5:$C$5000,'Turn Log'!$B$5:$B$5000,A92,'Turn Log'!$Q$5:$Q$5000,"Pass"),""))</f>
        <v/>
      </c>
      <c r="I92" s="56">
        <f>IF(A92="","",IFERROR(MAXIFS('Turn Log'!$C$5:$C$5000,'Turn Log'!$B$5:$B$5000,A92),""))</f>
        <v/>
      </c>
      <c r="J92" s="56">
        <f>IF(A92="","",IFERROR(INDEX('Turn Log'!$Q$5:$Q$5000,MATCH(1,('Turn Log'!$B$5:$B$5000=A92)*('Turn Log'!$C$5:$C$5000=I92),0)),""))</f>
        <v/>
      </c>
      <c r="K92" s="56">
        <f>IF(A92="","",IFERROR(INDEX('Turn Log'!$R$5:$R$5000,MATCH(1,('Turn Log'!$B$5:$B$5000=A92)*('Turn Log'!$C$5:$C$5000=I92),0)),""))</f>
        <v/>
      </c>
      <c r="L92" s="56">
        <f>IF(A92="","",COUNTIFS('Turn Log'!$B$5:$B$5000,A92,'Turn Log'!$X$5:$X$5000,1))</f>
        <v/>
      </c>
      <c r="M92" s="56">
        <f>IF(A92="","",COUNTIFS('Turn Log'!$B$5:$B$5000,A92,'Turn Log'!$Y$5:$Y$5000,1))</f>
        <v/>
      </c>
      <c r="N92" s="56">
        <f>IF(A92="","",COUNTIFS('Turn Log'!$B$5:$B$5000,A92,'Turn Log'!$W$5:$W$5000,1))</f>
        <v/>
      </c>
      <c r="O92" s="56">
        <f>IF(H92="","No","Yes")</f>
        <v/>
      </c>
      <c r="P92" s="56">
        <f>IF(A92="","",COUNTIFS('Stability Checks'!$A$5:$A$2000,A92,'Stability Checks'!$C$5:$C$2000,"Re-execution",'Stability Checks'!$E$5:$E$2000,"Pass"))</f>
        <v/>
      </c>
      <c r="Q92" s="56">
        <f>IF(A92="","",COUNTIFS('Stability Checks'!$A$5:$A$2000,A92,'Stability Checks'!$C$5:$C$2000,"Re-prompt",'Stability Checks'!$E$5:$E$2000,"Pass"))</f>
        <v/>
      </c>
      <c r="R92" s="47">
        <f>IF(A92="","",'Run Plan'!Q92)</f>
        <v/>
      </c>
      <c r="S92" s="50" t="n"/>
    </row>
    <row r="93" ht="15.75" customHeight="1" s="40">
      <c r="A93" s="55">
        <f>IF('Run Plan'!A93="","",'Run Plan'!A93)</f>
        <v/>
      </c>
      <c r="B93" s="55">
        <f>IF(A93="","",'Run Plan'!C93)</f>
        <v/>
      </c>
      <c r="C93" s="55">
        <f>IF(A93="","",'Run Plan'!E93)</f>
        <v/>
      </c>
      <c r="D93" s="54">
        <f>IF(A93="","",'Run Plan'!G93)</f>
        <v/>
      </c>
      <c r="E93" s="47">
        <f>IF(A93="","",'Run Plan'!K93)</f>
        <v/>
      </c>
      <c r="F93" s="47">
        <f>IF(A93="","",'Run Plan'!J93)</f>
        <v/>
      </c>
      <c r="G93" s="56">
        <f>IF(A93="","",COUNTIF('Turn Log'!$B$5:$B$5000,A93))</f>
        <v/>
      </c>
      <c r="H93" s="56">
        <f>IF(A93="","",IFERROR(MINIFS('Turn Log'!$C$5:$C$5000,'Turn Log'!$B$5:$B$5000,A93,'Turn Log'!$Q$5:$Q$5000,"Pass"),""))</f>
        <v/>
      </c>
      <c r="I93" s="56">
        <f>IF(A93="","",IFERROR(MAXIFS('Turn Log'!$C$5:$C$5000,'Turn Log'!$B$5:$B$5000,A93),""))</f>
        <v/>
      </c>
      <c r="J93" s="56">
        <f>IF(A93="","",IFERROR(INDEX('Turn Log'!$Q$5:$Q$5000,MATCH(1,('Turn Log'!$B$5:$B$5000=A93)*('Turn Log'!$C$5:$C$5000=I93),0)),""))</f>
        <v/>
      </c>
      <c r="K93" s="56">
        <f>IF(A93="","",IFERROR(INDEX('Turn Log'!$R$5:$R$5000,MATCH(1,('Turn Log'!$B$5:$B$5000=A93)*('Turn Log'!$C$5:$C$5000=I93),0)),""))</f>
        <v/>
      </c>
      <c r="L93" s="56">
        <f>IF(A93="","",COUNTIFS('Turn Log'!$B$5:$B$5000,A93,'Turn Log'!$X$5:$X$5000,1))</f>
        <v/>
      </c>
      <c r="M93" s="56">
        <f>IF(A93="","",COUNTIFS('Turn Log'!$B$5:$B$5000,A93,'Turn Log'!$Y$5:$Y$5000,1))</f>
        <v/>
      </c>
      <c r="N93" s="56">
        <f>IF(A93="","",COUNTIFS('Turn Log'!$B$5:$B$5000,A93,'Turn Log'!$W$5:$W$5000,1))</f>
        <v/>
      </c>
      <c r="O93" s="56">
        <f>IF(H93="","No","Yes")</f>
        <v/>
      </c>
      <c r="P93" s="56">
        <f>IF(A93="","",COUNTIFS('Stability Checks'!$A$5:$A$2000,A93,'Stability Checks'!$C$5:$C$2000,"Re-execution",'Stability Checks'!$E$5:$E$2000,"Pass"))</f>
        <v/>
      </c>
      <c r="Q93" s="56">
        <f>IF(A93="","",COUNTIFS('Stability Checks'!$A$5:$A$2000,A93,'Stability Checks'!$C$5:$C$2000,"Re-prompt",'Stability Checks'!$E$5:$E$2000,"Pass"))</f>
        <v/>
      </c>
      <c r="R93" s="47">
        <f>IF(A93="","",'Run Plan'!Q93)</f>
        <v/>
      </c>
      <c r="S93" s="50" t="n"/>
    </row>
    <row r="94" ht="15.75" customHeight="1" s="40">
      <c r="A94" s="55">
        <f>IF('Run Plan'!A94="","",'Run Plan'!A94)</f>
        <v/>
      </c>
      <c r="B94" s="55">
        <f>IF(A94="","",'Run Plan'!C94)</f>
        <v/>
      </c>
      <c r="C94" s="55">
        <f>IF(A94="","",'Run Plan'!E94)</f>
        <v/>
      </c>
      <c r="D94" s="54">
        <f>IF(A94="","",'Run Plan'!G94)</f>
        <v/>
      </c>
      <c r="E94" s="47">
        <f>IF(A94="","",'Run Plan'!K94)</f>
        <v/>
      </c>
      <c r="F94" s="47">
        <f>IF(A94="","",'Run Plan'!J94)</f>
        <v/>
      </c>
      <c r="G94" s="56">
        <f>IF(A94="","",COUNTIF('Turn Log'!$B$5:$B$5000,A94))</f>
        <v/>
      </c>
      <c r="H94" s="56">
        <f>IF(A94="","",IFERROR(MINIFS('Turn Log'!$C$5:$C$5000,'Turn Log'!$B$5:$B$5000,A94,'Turn Log'!$Q$5:$Q$5000,"Pass"),""))</f>
        <v/>
      </c>
      <c r="I94" s="56">
        <f>IF(A94="","",IFERROR(MAXIFS('Turn Log'!$C$5:$C$5000,'Turn Log'!$B$5:$B$5000,A94),""))</f>
        <v/>
      </c>
      <c r="J94" s="56">
        <f>IF(A94="","",IFERROR(INDEX('Turn Log'!$Q$5:$Q$5000,MATCH(1,('Turn Log'!$B$5:$B$5000=A94)*('Turn Log'!$C$5:$C$5000=I94),0)),""))</f>
        <v/>
      </c>
      <c r="K94" s="56">
        <f>IF(A94="","",IFERROR(INDEX('Turn Log'!$R$5:$R$5000,MATCH(1,('Turn Log'!$B$5:$B$5000=A94)*('Turn Log'!$C$5:$C$5000=I94),0)),""))</f>
        <v/>
      </c>
      <c r="L94" s="56">
        <f>IF(A94="","",COUNTIFS('Turn Log'!$B$5:$B$5000,A94,'Turn Log'!$X$5:$X$5000,1))</f>
        <v/>
      </c>
      <c r="M94" s="56">
        <f>IF(A94="","",COUNTIFS('Turn Log'!$B$5:$B$5000,A94,'Turn Log'!$Y$5:$Y$5000,1))</f>
        <v/>
      </c>
      <c r="N94" s="56">
        <f>IF(A94="","",COUNTIFS('Turn Log'!$B$5:$B$5000,A94,'Turn Log'!$W$5:$W$5000,1))</f>
        <v/>
      </c>
      <c r="O94" s="56">
        <f>IF(H94="","No","Yes")</f>
        <v/>
      </c>
      <c r="P94" s="56">
        <f>IF(A94="","",COUNTIFS('Stability Checks'!$A$5:$A$2000,A94,'Stability Checks'!$C$5:$C$2000,"Re-execution",'Stability Checks'!$E$5:$E$2000,"Pass"))</f>
        <v/>
      </c>
      <c r="Q94" s="56">
        <f>IF(A94="","",COUNTIFS('Stability Checks'!$A$5:$A$2000,A94,'Stability Checks'!$C$5:$C$2000,"Re-prompt",'Stability Checks'!$E$5:$E$2000,"Pass"))</f>
        <v/>
      </c>
      <c r="R94" s="47">
        <f>IF(A94="","",'Run Plan'!Q94)</f>
        <v/>
      </c>
      <c r="S94" s="50" t="n"/>
    </row>
    <row r="95" ht="15.75" customHeight="1" s="40">
      <c r="A95" s="55">
        <f>IF('Run Plan'!A95="","",'Run Plan'!A95)</f>
        <v/>
      </c>
      <c r="B95" s="55">
        <f>IF(A95="","",'Run Plan'!C95)</f>
        <v/>
      </c>
      <c r="C95" s="55">
        <f>IF(A95="","",'Run Plan'!E95)</f>
        <v/>
      </c>
      <c r="D95" s="54">
        <f>IF(A95="","",'Run Plan'!G95)</f>
        <v/>
      </c>
      <c r="E95" s="47">
        <f>IF(A95="","",'Run Plan'!K95)</f>
        <v/>
      </c>
      <c r="F95" s="47">
        <f>IF(A95="","",'Run Plan'!J95)</f>
        <v/>
      </c>
      <c r="G95" s="56">
        <f>IF(A95="","",COUNTIF('Turn Log'!$B$5:$B$5000,A95))</f>
        <v/>
      </c>
      <c r="H95" s="56">
        <f>IF(A95="","",IFERROR(MINIFS('Turn Log'!$C$5:$C$5000,'Turn Log'!$B$5:$B$5000,A95,'Turn Log'!$Q$5:$Q$5000,"Pass"),""))</f>
        <v/>
      </c>
      <c r="I95" s="56">
        <f>IF(A95="","",IFERROR(MAXIFS('Turn Log'!$C$5:$C$5000,'Turn Log'!$B$5:$B$5000,A95),""))</f>
        <v/>
      </c>
      <c r="J95" s="56">
        <f>IF(A95="","",IFERROR(INDEX('Turn Log'!$Q$5:$Q$5000,MATCH(1,('Turn Log'!$B$5:$B$5000=A95)*('Turn Log'!$C$5:$C$5000=I95),0)),""))</f>
        <v/>
      </c>
      <c r="K95" s="56">
        <f>IF(A95="","",IFERROR(INDEX('Turn Log'!$R$5:$R$5000,MATCH(1,('Turn Log'!$B$5:$B$5000=A95)*('Turn Log'!$C$5:$C$5000=I95),0)),""))</f>
        <v/>
      </c>
      <c r="L95" s="56">
        <f>IF(A95="","",COUNTIFS('Turn Log'!$B$5:$B$5000,A95,'Turn Log'!$X$5:$X$5000,1))</f>
        <v/>
      </c>
      <c r="M95" s="56">
        <f>IF(A95="","",COUNTIFS('Turn Log'!$B$5:$B$5000,A95,'Turn Log'!$Y$5:$Y$5000,1))</f>
        <v/>
      </c>
      <c r="N95" s="56">
        <f>IF(A95="","",COUNTIFS('Turn Log'!$B$5:$B$5000,A95,'Turn Log'!$W$5:$W$5000,1))</f>
        <v/>
      </c>
      <c r="O95" s="56">
        <f>IF(H95="","No","Yes")</f>
        <v/>
      </c>
      <c r="P95" s="56">
        <f>IF(A95="","",COUNTIFS('Stability Checks'!$A$5:$A$2000,A95,'Stability Checks'!$C$5:$C$2000,"Re-execution",'Stability Checks'!$E$5:$E$2000,"Pass"))</f>
        <v/>
      </c>
      <c r="Q95" s="56">
        <f>IF(A95="","",COUNTIFS('Stability Checks'!$A$5:$A$2000,A95,'Stability Checks'!$C$5:$C$2000,"Re-prompt",'Stability Checks'!$E$5:$E$2000,"Pass"))</f>
        <v/>
      </c>
      <c r="R95" s="47">
        <f>IF(A95="","",'Run Plan'!Q95)</f>
        <v/>
      </c>
      <c r="S95" s="50" t="n"/>
    </row>
    <row r="96" ht="15.75" customHeight="1" s="40">
      <c r="A96" s="55">
        <f>IF('Run Plan'!A96="","",'Run Plan'!A96)</f>
        <v/>
      </c>
      <c r="B96" s="55">
        <f>IF(A96="","",'Run Plan'!C96)</f>
        <v/>
      </c>
      <c r="C96" s="55">
        <f>IF(A96="","",'Run Plan'!E96)</f>
        <v/>
      </c>
      <c r="D96" s="54">
        <f>IF(A96="","",'Run Plan'!G96)</f>
        <v/>
      </c>
      <c r="E96" s="47">
        <f>IF(A96="","",'Run Plan'!K96)</f>
        <v/>
      </c>
      <c r="F96" s="47">
        <f>IF(A96="","",'Run Plan'!J96)</f>
        <v/>
      </c>
      <c r="G96" s="56">
        <f>IF(A96="","",COUNTIF('Turn Log'!$B$5:$B$5000,A96))</f>
        <v/>
      </c>
      <c r="H96" s="56">
        <f>IF(A96="","",IFERROR(MINIFS('Turn Log'!$C$5:$C$5000,'Turn Log'!$B$5:$B$5000,A96,'Turn Log'!$Q$5:$Q$5000,"Pass"),""))</f>
        <v/>
      </c>
      <c r="I96" s="56">
        <f>IF(A96="","",IFERROR(MAXIFS('Turn Log'!$C$5:$C$5000,'Turn Log'!$B$5:$B$5000,A96),""))</f>
        <v/>
      </c>
      <c r="J96" s="56">
        <f>IF(A96="","",IFERROR(INDEX('Turn Log'!$Q$5:$Q$5000,MATCH(1,('Turn Log'!$B$5:$B$5000=A96)*('Turn Log'!$C$5:$C$5000=I96),0)),""))</f>
        <v/>
      </c>
      <c r="K96" s="56">
        <f>IF(A96="","",IFERROR(INDEX('Turn Log'!$R$5:$R$5000,MATCH(1,('Turn Log'!$B$5:$B$5000=A96)*('Turn Log'!$C$5:$C$5000=I96),0)),""))</f>
        <v/>
      </c>
      <c r="L96" s="56">
        <f>IF(A96="","",COUNTIFS('Turn Log'!$B$5:$B$5000,A96,'Turn Log'!$X$5:$X$5000,1))</f>
        <v/>
      </c>
      <c r="M96" s="56">
        <f>IF(A96="","",COUNTIFS('Turn Log'!$B$5:$B$5000,A96,'Turn Log'!$Y$5:$Y$5000,1))</f>
        <v/>
      </c>
      <c r="N96" s="56">
        <f>IF(A96="","",COUNTIFS('Turn Log'!$B$5:$B$5000,A96,'Turn Log'!$W$5:$W$5000,1))</f>
        <v/>
      </c>
      <c r="O96" s="56">
        <f>IF(H96="","No","Yes")</f>
        <v/>
      </c>
      <c r="P96" s="56">
        <f>IF(A96="","",COUNTIFS('Stability Checks'!$A$5:$A$2000,A96,'Stability Checks'!$C$5:$C$2000,"Re-execution",'Stability Checks'!$E$5:$E$2000,"Pass"))</f>
        <v/>
      </c>
      <c r="Q96" s="56">
        <f>IF(A96="","",COUNTIFS('Stability Checks'!$A$5:$A$2000,A96,'Stability Checks'!$C$5:$C$2000,"Re-prompt",'Stability Checks'!$E$5:$E$2000,"Pass"))</f>
        <v/>
      </c>
      <c r="R96" s="47">
        <f>IF(A96="","",'Run Plan'!Q96)</f>
        <v/>
      </c>
      <c r="S96" s="50" t="n"/>
    </row>
    <row r="97" ht="15.75" customHeight="1" s="40">
      <c r="A97" s="55">
        <f>IF('Run Plan'!A97="","",'Run Plan'!A97)</f>
        <v/>
      </c>
      <c r="B97" s="55">
        <f>IF(A97="","",'Run Plan'!C97)</f>
        <v/>
      </c>
      <c r="C97" s="55">
        <f>IF(A97="","",'Run Plan'!E97)</f>
        <v/>
      </c>
      <c r="D97" s="54">
        <f>IF(A97="","",'Run Plan'!G97)</f>
        <v/>
      </c>
      <c r="E97" s="47">
        <f>IF(A97="","",'Run Plan'!K97)</f>
        <v/>
      </c>
      <c r="F97" s="47">
        <f>IF(A97="","",'Run Plan'!J97)</f>
        <v/>
      </c>
      <c r="G97" s="56">
        <f>IF(A97="","",COUNTIF('Turn Log'!$B$5:$B$5000,A97))</f>
        <v/>
      </c>
      <c r="H97" s="56">
        <f>IF(A97="","",IFERROR(MINIFS('Turn Log'!$C$5:$C$5000,'Turn Log'!$B$5:$B$5000,A97,'Turn Log'!$Q$5:$Q$5000,"Pass"),""))</f>
        <v/>
      </c>
      <c r="I97" s="56">
        <f>IF(A97="","",IFERROR(MAXIFS('Turn Log'!$C$5:$C$5000,'Turn Log'!$B$5:$B$5000,A97),""))</f>
        <v/>
      </c>
      <c r="J97" s="56">
        <f>IF(A97="","",IFERROR(INDEX('Turn Log'!$Q$5:$Q$5000,MATCH(1,('Turn Log'!$B$5:$B$5000=A97)*('Turn Log'!$C$5:$C$5000=I97),0)),""))</f>
        <v/>
      </c>
      <c r="K97" s="56">
        <f>IF(A97="","",IFERROR(INDEX('Turn Log'!$R$5:$R$5000,MATCH(1,('Turn Log'!$B$5:$B$5000=A97)*('Turn Log'!$C$5:$C$5000=I97),0)),""))</f>
        <v/>
      </c>
      <c r="L97" s="56">
        <f>IF(A97="","",COUNTIFS('Turn Log'!$B$5:$B$5000,A97,'Turn Log'!$X$5:$X$5000,1))</f>
        <v/>
      </c>
      <c r="M97" s="56">
        <f>IF(A97="","",COUNTIFS('Turn Log'!$B$5:$B$5000,A97,'Turn Log'!$Y$5:$Y$5000,1))</f>
        <v/>
      </c>
      <c r="N97" s="56">
        <f>IF(A97="","",COUNTIFS('Turn Log'!$B$5:$B$5000,A97,'Turn Log'!$W$5:$W$5000,1))</f>
        <v/>
      </c>
      <c r="O97" s="56">
        <f>IF(H97="","No","Yes")</f>
        <v/>
      </c>
      <c r="P97" s="56">
        <f>IF(A97="","",COUNTIFS('Stability Checks'!$A$5:$A$2000,A97,'Stability Checks'!$C$5:$C$2000,"Re-execution",'Stability Checks'!$E$5:$E$2000,"Pass"))</f>
        <v/>
      </c>
      <c r="Q97" s="56">
        <f>IF(A97="","",COUNTIFS('Stability Checks'!$A$5:$A$2000,A97,'Stability Checks'!$C$5:$C$2000,"Re-prompt",'Stability Checks'!$E$5:$E$2000,"Pass"))</f>
        <v/>
      </c>
      <c r="R97" s="47">
        <f>IF(A97="","",'Run Plan'!Q97)</f>
        <v/>
      </c>
      <c r="S97" s="50" t="n"/>
    </row>
    <row r="98" ht="15.75" customHeight="1" s="40">
      <c r="A98" s="55">
        <f>IF('Run Plan'!A98="","",'Run Plan'!A98)</f>
        <v/>
      </c>
      <c r="B98" s="55">
        <f>IF(A98="","",'Run Plan'!C98)</f>
        <v/>
      </c>
      <c r="C98" s="55">
        <f>IF(A98="","",'Run Plan'!E98)</f>
        <v/>
      </c>
      <c r="D98" s="54">
        <f>IF(A98="","",'Run Plan'!G98)</f>
        <v/>
      </c>
      <c r="E98" s="47">
        <f>IF(A98="","",'Run Plan'!K98)</f>
        <v/>
      </c>
      <c r="F98" s="47">
        <f>IF(A98="","",'Run Plan'!J98)</f>
        <v/>
      </c>
      <c r="G98" s="56">
        <f>IF(A98="","",COUNTIF('Turn Log'!$B$5:$B$5000,A98))</f>
        <v/>
      </c>
      <c r="H98" s="56">
        <f>IF(A98="","",IFERROR(MINIFS('Turn Log'!$C$5:$C$5000,'Turn Log'!$B$5:$B$5000,A98,'Turn Log'!$Q$5:$Q$5000,"Pass"),""))</f>
        <v/>
      </c>
      <c r="I98" s="56">
        <f>IF(A98="","",IFERROR(MAXIFS('Turn Log'!$C$5:$C$5000,'Turn Log'!$B$5:$B$5000,A98),""))</f>
        <v/>
      </c>
      <c r="J98" s="56">
        <f>IF(A98="","",IFERROR(INDEX('Turn Log'!$Q$5:$Q$5000,MATCH(1,('Turn Log'!$B$5:$B$5000=A98)*('Turn Log'!$C$5:$C$5000=I98),0)),""))</f>
        <v/>
      </c>
      <c r="K98" s="56">
        <f>IF(A98="","",IFERROR(INDEX('Turn Log'!$R$5:$R$5000,MATCH(1,('Turn Log'!$B$5:$B$5000=A98)*('Turn Log'!$C$5:$C$5000=I98),0)),""))</f>
        <v/>
      </c>
      <c r="L98" s="56">
        <f>IF(A98="","",COUNTIFS('Turn Log'!$B$5:$B$5000,A98,'Turn Log'!$X$5:$X$5000,1))</f>
        <v/>
      </c>
      <c r="M98" s="56">
        <f>IF(A98="","",COUNTIFS('Turn Log'!$B$5:$B$5000,A98,'Turn Log'!$Y$5:$Y$5000,1))</f>
        <v/>
      </c>
      <c r="N98" s="56">
        <f>IF(A98="","",COUNTIFS('Turn Log'!$B$5:$B$5000,A98,'Turn Log'!$W$5:$W$5000,1))</f>
        <v/>
      </c>
      <c r="O98" s="56">
        <f>IF(H98="","No","Yes")</f>
        <v/>
      </c>
      <c r="P98" s="56">
        <f>IF(A98="","",COUNTIFS('Stability Checks'!$A$5:$A$2000,A98,'Stability Checks'!$C$5:$C$2000,"Re-execution",'Stability Checks'!$E$5:$E$2000,"Pass"))</f>
        <v/>
      </c>
      <c r="Q98" s="56">
        <f>IF(A98="","",COUNTIFS('Stability Checks'!$A$5:$A$2000,A98,'Stability Checks'!$C$5:$C$2000,"Re-prompt",'Stability Checks'!$E$5:$E$2000,"Pass"))</f>
        <v/>
      </c>
      <c r="R98" s="47">
        <f>IF(A98="","",'Run Plan'!Q98)</f>
        <v/>
      </c>
      <c r="S98" s="50" t="n"/>
    </row>
    <row r="99" ht="15.75" customHeight="1" s="40">
      <c r="A99" s="55">
        <f>IF('Run Plan'!A99="","",'Run Plan'!A99)</f>
        <v/>
      </c>
      <c r="B99" s="55">
        <f>IF(A99="","",'Run Plan'!C99)</f>
        <v/>
      </c>
      <c r="C99" s="55">
        <f>IF(A99="","",'Run Plan'!E99)</f>
        <v/>
      </c>
      <c r="D99" s="54">
        <f>IF(A99="","",'Run Plan'!G99)</f>
        <v/>
      </c>
      <c r="E99" s="47">
        <f>IF(A99="","",'Run Plan'!K99)</f>
        <v/>
      </c>
      <c r="F99" s="47">
        <f>IF(A99="","",'Run Plan'!J99)</f>
        <v/>
      </c>
      <c r="G99" s="56">
        <f>IF(A99="","",COUNTIF('Turn Log'!$B$5:$B$5000,A99))</f>
        <v/>
      </c>
      <c r="H99" s="56">
        <f>IF(A99="","",IFERROR(MINIFS('Turn Log'!$C$5:$C$5000,'Turn Log'!$B$5:$B$5000,A99,'Turn Log'!$Q$5:$Q$5000,"Pass"),""))</f>
        <v/>
      </c>
      <c r="I99" s="56">
        <f>IF(A99="","",IFERROR(MAXIFS('Turn Log'!$C$5:$C$5000,'Turn Log'!$B$5:$B$5000,A99),""))</f>
        <v/>
      </c>
      <c r="J99" s="56">
        <f>IF(A99="","",IFERROR(INDEX('Turn Log'!$Q$5:$Q$5000,MATCH(1,('Turn Log'!$B$5:$B$5000=A99)*('Turn Log'!$C$5:$C$5000=I99),0)),""))</f>
        <v/>
      </c>
      <c r="K99" s="56">
        <f>IF(A99="","",IFERROR(INDEX('Turn Log'!$R$5:$R$5000,MATCH(1,('Turn Log'!$B$5:$B$5000=A99)*('Turn Log'!$C$5:$C$5000=I99),0)),""))</f>
        <v/>
      </c>
      <c r="L99" s="56">
        <f>IF(A99="","",COUNTIFS('Turn Log'!$B$5:$B$5000,A99,'Turn Log'!$X$5:$X$5000,1))</f>
        <v/>
      </c>
      <c r="M99" s="56">
        <f>IF(A99="","",COUNTIFS('Turn Log'!$B$5:$B$5000,A99,'Turn Log'!$Y$5:$Y$5000,1))</f>
        <v/>
      </c>
      <c r="N99" s="56">
        <f>IF(A99="","",COUNTIFS('Turn Log'!$B$5:$B$5000,A99,'Turn Log'!$W$5:$W$5000,1))</f>
        <v/>
      </c>
      <c r="O99" s="56">
        <f>IF(H99="","No","Yes")</f>
        <v/>
      </c>
      <c r="P99" s="56">
        <f>IF(A99="","",COUNTIFS('Stability Checks'!$A$5:$A$2000,A99,'Stability Checks'!$C$5:$C$2000,"Re-execution",'Stability Checks'!$E$5:$E$2000,"Pass"))</f>
        <v/>
      </c>
      <c r="Q99" s="56">
        <f>IF(A99="","",COUNTIFS('Stability Checks'!$A$5:$A$2000,A99,'Stability Checks'!$C$5:$C$2000,"Re-prompt",'Stability Checks'!$E$5:$E$2000,"Pass"))</f>
        <v/>
      </c>
      <c r="R99" s="47">
        <f>IF(A99="","",'Run Plan'!Q99)</f>
        <v/>
      </c>
      <c r="S99" s="50" t="n"/>
    </row>
    <row r="100" ht="15.75" customHeight="1" s="40">
      <c r="A100" s="55">
        <f>IF('Run Plan'!A100="","",'Run Plan'!A100)</f>
        <v/>
      </c>
      <c r="B100" s="55">
        <f>IF(A100="","",'Run Plan'!C100)</f>
        <v/>
      </c>
      <c r="C100" s="55">
        <f>IF(A100="","",'Run Plan'!E100)</f>
        <v/>
      </c>
      <c r="D100" s="54">
        <f>IF(A100="","",'Run Plan'!G100)</f>
        <v/>
      </c>
      <c r="E100" s="47">
        <f>IF(A100="","",'Run Plan'!K100)</f>
        <v/>
      </c>
      <c r="F100" s="47">
        <f>IF(A100="","",'Run Plan'!J100)</f>
        <v/>
      </c>
      <c r="G100" s="56">
        <f>IF(A100="","",COUNTIF('Turn Log'!$B$5:$B$5000,A100))</f>
        <v/>
      </c>
      <c r="H100" s="56">
        <f>IF(A100="","",IFERROR(MINIFS('Turn Log'!$C$5:$C$5000,'Turn Log'!$B$5:$B$5000,A100,'Turn Log'!$Q$5:$Q$5000,"Pass"),""))</f>
        <v/>
      </c>
      <c r="I100" s="56">
        <f>IF(A100="","",IFERROR(MAXIFS('Turn Log'!$C$5:$C$5000,'Turn Log'!$B$5:$B$5000,A100),""))</f>
        <v/>
      </c>
      <c r="J100" s="56">
        <f>IF(A100="","",IFERROR(INDEX('Turn Log'!$Q$5:$Q$5000,MATCH(1,('Turn Log'!$B$5:$B$5000=A100)*('Turn Log'!$C$5:$C$5000=I100),0)),""))</f>
        <v/>
      </c>
      <c r="K100" s="56">
        <f>IF(A100="","",IFERROR(INDEX('Turn Log'!$R$5:$R$5000,MATCH(1,('Turn Log'!$B$5:$B$5000=A100)*('Turn Log'!$C$5:$C$5000=I100),0)),""))</f>
        <v/>
      </c>
      <c r="L100" s="56">
        <f>IF(A100="","",COUNTIFS('Turn Log'!$B$5:$B$5000,A100,'Turn Log'!$X$5:$X$5000,1))</f>
        <v/>
      </c>
      <c r="M100" s="56">
        <f>IF(A100="","",COUNTIFS('Turn Log'!$B$5:$B$5000,A100,'Turn Log'!$Y$5:$Y$5000,1))</f>
        <v/>
      </c>
      <c r="N100" s="56">
        <f>IF(A100="","",COUNTIFS('Turn Log'!$B$5:$B$5000,A100,'Turn Log'!$W$5:$W$5000,1))</f>
        <v/>
      </c>
      <c r="O100" s="56">
        <f>IF(H100="","No","Yes")</f>
        <v/>
      </c>
      <c r="P100" s="56">
        <f>IF(A100="","",COUNTIFS('Stability Checks'!$A$5:$A$2000,A100,'Stability Checks'!$C$5:$C$2000,"Re-execution",'Stability Checks'!$E$5:$E$2000,"Pass"))</f>
        <v/>
      </c>
      <c r="Q100" s="56">
        <f>IF(A100="","",COUNTIFS('Stability Checks'!$A$5:$A$2000,A100,'Stability Checks'!$C$5:$C$2000,"Re-prompt",'Stability Checks'!$E$5:$E$2000,"Pass"))</f>
        <v/>
      </c>
      <c r="R100" s="47">
        <f>IF(A100="","",'Run Plan'!Q100)</f>
        <v/>
      </c>
      <c r="S100" s="50" t="n"/>
    </row>
    <row r="101" ht="15.75" customHeight="1" s="40">
      <c r="A101" s="55">
        <f>IF('Run Plan'!A101="","",'Run Plan'!A101)</f>
        <v/>
      </c>
      <c r="B101" s="55">
        <f>IF(A101="","",'Run Plan'!C101)</f>
        <v/>
      </c>
      <c r="C101" s="55">
        <f>IF(A101="","",'Run Plan'!E101)</f>
        <v/>
      </c>
      <c r="D101" s="54">
        <f>IF(A101="","",'Run Plan'!G101)</f>
        <v/>
      </c>
      <c r="E101" s="47">
        <f>IF(A101="","",'Run Plan'!K101)</f>
        <v/>
      </c>
      <c r="F101" s="47">
        <f>IF(A101="","",'Run Plan'!J101)</f>
        <v/>
      </c>
      <c r="G101" s="56">
        <f>IF(A101="","",COUNTIF('Turn Log'!$B$5:$B$5000,A101))</f>
        <v/>
      </c>
      <c r="H101" s="56">
        <f>IF(A101="","",IFERROR(MINIFS('Turn Log'!$C$5:$C$5000,'Turn Log'!$B$5:$B$5000,A101,'Turn Log'!$Q$5:$Q$5000,"Pass"),""))</f>
        <v/>
      </c>
      <c r="I101" s="56">
        <f>IF(A101="","",IFERROR(MAXIFS('Turn Log'!$C$5:$C$5000,'Turn Log'!$B$5:$B$5000,A101),""))</f>
        <v/>
      </c>
      <c r="J101" s="56">
        <f>IF(A101="","",IFERROR(INDEX('Turn Log'!$Q$5:$Q$5000,MATCH(1,('Turn Log'!$B$5:$B$5000=A101)*('Turn Log'!$C$5:$C$5000=I101),0)),""))</f>
        <v/>
      </c>
      <c r="K101" s="56">
        <f>IF(A101="","",IFERROR(INDEX('Turn Log'!$R$5:$R$5000,MATCH(1,('Turn Log'!$B$5:$B$5000=A101)*('Turn Log'!$C$5:$C$5000=I101),0)),""))</f>
        <v/>
      </c>
      <c r="L101" s="56">
        <f>IF(A101="","",COUNTIFS('Turn Log'!$B$5:$B$5000,A101,'Turn Log'!$X$5:$X$5000,1))</f>
        <v/>
      </c>
      <c r="M101" s="56">
        <f>IF(A101="","",COUNTIFS('Turn Log'!$B$5:$B$5000,A101,'Turn Log'!$Y$5:$Y$5000,1))</f>
        <v/>
      </c>
      <c r="N101" s="56">
        <f>IF(A101="","",COUNTIFS('Turn Log'!$B$5:$B$5000,A101,'Turn Log'!$W$5:$W$5000,1))</f>
        <v/>
      </c>
      <c r="O101" s="56">
        <f>IF(H101="","No","Yes")</f>
        <v/>
      </c>
      <c r="P101" s="56">
        <f>IF(A101="","",COUNTIFS('Stability Checks'!$A$5:$A$2000,A101,'Stability Checks'!$C$5:$C$2000,"Re-execution",'Stability Checks'!$E$5:$E$2000,"Pass"))</f>
        <v/>
      </c>
      <c r="Q101" s="56">
        <f>IF(A101="","",COUNTIFS('Stability Checks'!$A$5:$A$2000,A101,'Stability Checks'!$C$5:$C$2000,"Re-prompt",'Stability Checks'!$E$5:$E$2000,"Pass"))</f>
        <v/>
      </c>
      <c r="R101" s="47">
        <f>IF(A101="","",'Run Plan'!Q101)</f>
        <v/>
      </c>
      <c r="S101" s="50" t="n"/>
    </row>
    <row r="102" ht="15.75" customHeight="1" s="40">
      <c r="A102" s="55">
        <f>IF('Run Plan'!A102="","",'Run Plan'!A102)</f>
        <v/>
      </c>
      <c r="B102" s="55">
        <f>IF(A102="","",'Run Plan'!C102)</f>
        <v/>
      </c>
      <c r="C102" s="55">
        <f>IF(A102="","",'Run Plan'!E102)</f>
        <v/>
      </c>
      <c r="D102" s="54">
        <f>IF(A102="","",'Run Plan'!G102)</f>
        <v/>
      </c>
      <c r="E102" s="47">
        <f>IF(A102="","",'Run Plan'!K102)</f>
        <v/>
      </c>
      <c r="F102" s="47">
        <f>IF(A102="","",'Run Plan'!J102)</f>
        <v/>
      </c>
      <c r="G102" s="56">
        <f>IF(A102="","",COUNTIF('Turn Log'!$B$5:$B$5000,A102))</f>
        <v/>
      </c>
      <c r="H102" s="56">
        <f>IF(A102="","",IFERROR(MINIFS('Turn Log'!$C$5:$C$5000,'Turn Log'!$B$5:$B$5000,A102,'Turn Log'!$Q$5:$Q$5000,"Pass"),""))</f>
        <v/>
      </c>
      <c r="I102" s="56">
        <f>IF(A102="","",IFERROR(MAXIFS('Turn Log'!$C$5:$C$5000,'Turn Log'!$B$5:$B$5000,A102),""))</f>
        <v/>
      </c>
      <c r="J102" s="56">
        <f>IF(A102="","",IFERROR(INDEX('Turn Log'!$Q$5:$Q$5000,MATCH(1,('Turn Log'!$B$5:$B$5000=A102)*('Turn Log'!$C$5:$C$5000=I102),0)),""))</f>
        <v/>
      </c>
      <c r="K102" s="56">
        <f>IF(A102="","",IFERROR(INDEX('Turn Log'!$R$5:$R$5000,MATCH(1,('Turn Log'!$B$5:$B$5000=A102)*('Turn Log'!$C$5:$C$5000=I102),0)),""))</f>
        <v/>
      </c>
      <c r="L102" s="56">
        <f>IF(A102="","",COUNTIFS('Turn Log'!$B$5:$B$5000,A102,'Turn Log'!$X$5:$X$5000,1))</f>
        <v/>
      </c>
      <c r="M102" s="56">
        <f>IF(A102="","",COUNTIFS('Turn Log'!$B$5:$B$5000,A102,'Turn Log'!$Y$5:$Y$5000,1))</f>
        <v/>
      </c>
      <c r="N102" s="56">
        <f>IF(A102="","",COUNTIFS('Turn Log'!$B$5:$B$5000,A102,'Turn Log'!$W$5:$W$5000,1))</f>
        <v/>
      </c>
      <c r="O102" s="56">
        <f>IF(H102="","No","Yes")</f>
        <v/>
      </c>
      <c r="P102" s="56">
        <f>IF(A102="","",COUNTIFS('Stability Checks'!$A$5:$A$2000,A102,'Stability Checks'!$C$5:$C$2000,"Re-execution",'Stability Checks'!$E$5:$E$2000,"Pass"))</f>
        <v/>
      </c>
      <c r="Q102" s="56">
        <f>IF(A102="","",COUNTIFS('Stability Checks'!$A$5:$A$2000,A102,'Stability Checks'!$C$5:$C$2000,"Re-prompt",'Stability Checks'!$E$5:$E$2000,"Pass"))</f>
        <v/>
      </c>
      <c r="R102" s="47">
        <f>IF(A102="","",'Run Plan'!Q102)</f>
        <v/>
      </c>
      <c r="S102" s="50" t="n"/>
    </row>
    <row r="103" ht="15.75" customHeight="1" s="40">
      <c r="A103" s="55">
        <f>IF('Run Plan'!A103="","",'Run Plan'!A103)</f>
        <v/>
      </c>
      <c r="B103" s="55">
        <f>IF(A103="","",'Run Plan'!C103)</f>
        <v/>
      </c>
      <c r="C103" s="55">
        <f>IF(A103="","",'Run Plan'!E103)</f>
        <v/>
      </c>
      <c r="D103" s="54">
        <f>IF(A103="","",'Run Plan'!G103)</f>
        <v/>
      </c>
      <c r="E103" s="47">
        <f>IF(A103="","",'Run Plan'!K103)</f>
        <v/>
      </c>
      <c r="F103" s="47">
        <f>IF(A103="","",'Run Plan'!J103)</f>
        <v/>
      </c>
      <c r="G103" s="56">
        <f>IF(A103="","",COUNTIF('Turn Log'!$B$5:$B$5000,A103))</f>
        <v/>
      </c>
      <c r="H103" s="56">
        <f>IF(A103="","",IFERROR(MINIFS('Turn Log'!$C$5:$C$5000,'Turn Log'!$B$5:$B$5000,A103,'Turn Log'!$Q$5:$Q$5000,"Pass"),""))</f>
        <v/>
      </c>
      <c r="I103" s="56">
        <f>IF(A103="","",IFERROR(MAXIFS('Turn Log'!$C$5:$C$5000,'Turn Log'!$B$5:$B$5000,A103),""))</f>
        <v/>
      </c>
      <c r="J103" s="56">
        <f>IF(A103="","",IFERROR(INDEX('Turn Log'!$Q$5:$Q$5000,MATCH(1,('Turn Log'!$B$5:$B$5000=A103)*('Turn Log'!$C$5:$C$5000=I103),0)),""))</f>
        <v/>
      </c>
      <c r="K103" s="56">
        <f>IF(A103="","",IFERROR(INDEX('Turn Log'!$R$5:$R$5000,MATCH(1,('Turn Log'!$B$5:$B$5000=A103)*('Turn Log'!$C$5:$C$5000=I103),0)),""))</f>
        <v/>
      </c>
      <c r="L103" s="56">
        <f>IF(A103="","",COUNTIFS('Turn Log'!$B$5:$B$5000,A103,'Turn Log'!$X$5:$X$5000,1))</f>
        <v/>
      </c>
      <c r="M103" s="56">
        <f>IF(A103="","",COUNTIFS('Turn Log'!$B$5:$B$5000,A103,'Turn Log'!$Y$5:$Y$5000,1))</f>
        <v/>
      </c>
      <c r="N103" s="56">
        <f>IF(A103="","",COUNTIFS('Turn Log'!$B$5:$B$5000,A103,'Turn Log'!$W$5:$W$5000,1))</f>
        <v/>
      </c>
      <c r="O103" s="56">
        <f>IF(H103="","No","Yes")</f>
        <v/>
      </c>
      <c r="P103" s="56">
        <f>IF(A103="","",COUNTIFS('Stability Checks'!$A$5:$A$2000,A103,'Stability Checks'!$C$5:$C$2000,"Re-execution",'Stability Checks'!$E$5:$E$2000,"Pass"))</f>
        <v/>
      </c>
      <c r="Q103" s="56">
        <f>IF(A103="","",COUNTIFS('Stability Checks'!$A$5:$A$2000,A103,'Stability Checks'!$C$5:$C$2000,"Re-prompt",'Stability Checks'!$E$5:$E$2000,"Pass"))</f>
        <v/>
      </c>
      <c r="R103" s="47">
        <f>IF(A103="","",'Run Plan'!Q103)</f>
        <v/>
      </c>
      <c r="S103" s="50" t="n"/>
    </row>
    <row r="104" ht="15.75" customHeight="1" s="40">
      <c r="A104" s="55">
        <f>IF('Run Plan'!A104="","",'Run Plan'!A104)</f>
        <v/>
      </c>
      <c r="B104" s="55">
        <f>IF(A104="","",'Run Plan'!C104)</f>
        <v/>
      </c>
      <c r="C104" s="55">
        <f>IF(A104="","",'Run Plan'!E104)</f>
        <v/>
      </c>
      <c r="D104" s="54">
        <f>IF(A104="","",'Run Plan'!G104)</f>
        <v/>
      </c>
      <c r="E104" s="47">
        <f>IF(A104="","",'Run Plan'!K104)</f>
        <v/>
      </c>
      <c r="F104" s="47">
        <f>IF(A104="","",'Run Plan'!J104)</f>
        <v/>
      </c>
      <c r="G104" s="56">
        <f>IF(A104="","",COUNTIF('Turn Log'!$B$5:$B$5000,A104))</f>
        <v/>
      </c>
      <c r="H104" s="56">
        <f>IF(A104="","",IFERROR(MINIFS('Turn Log'!$C$5:$C$5000,'Turn Log'!$B$5:$B$5000,A104,'Turn Log'!$Q$5:$Q$5000,"Pass"),""))</f>
        <v/>
      </c>
      <c r="I104" s="56">
        <f>IF(A104="","",IFERROR(MAXIFS('Turn Log'!$C$5:$C$5000,'Turn Log'!$B$5:$B$5000,A104),""))</f>
        <v/>
      </c>
      <c r="J104" s="56">
        <f>IF(A104="","",IFERROR(INDEX('Turn Log'!$Q$5:$Q$5000,MATCH(1,('Turn Log'!$B$5:$B$5000=A104)*('Turn Log'!$C$5:$C$5000=I104),0)),""))</f>
        <v/>
      </c>
      <c r="K104" s="56">
        <f>IF(A104="","",IFERROR(INDEX('Turn Log'!$R$5:$R$5000,MATCH(1,('Turn Log'!$B$5:$B$5000=A104)*('Turn Log'!$C$5:$C$5000=I104),0)),""))</f>
        <v/>
      </c>
      <c r="L104" s="56">
        <f>IF(A104="","",COUNTIFS('Turn Log'!$B$5:$B$5000,A104,'Turn Log'!$X$5:$X$5000,1))</f>
        <v/>
      </c>
      <c r="M104" s="56">
        <f>IF(A104="","",COUNTIFS('Turn Log'!$B$5:$B$5000,A104,'Turn Log'!$Y$5:$Y$5000,1))</f>
        <v/>
      </c>
      <c r="N104" s="56">
        <f>IF(A104="","",COUNTIFS('Turn Log'!$B$5:$B$5000,A104,'Turn Log'!$W$5:$W$5000,1))</f>
        <v/>
      </c>
      <c r="O104" s="56">
        <f>IF(H104="","No","Yes")</f>
        <v/>
      </c>
      <c r="P104" s="56">
        <f>IF(A104="","",COUNTIFS('Stability Checks'!$A$5:$A$2000,A104,'Stability Checks'!$C$5:$C$2000,"Re-execution",'Stability Checks'!$E$5:$E$2000,"Pass"))</f>
        <v/>
      </c>
      <c r="Q104" s="56">
        <f>IF(A104="","",COUNTIFS('Stability Checks'!$A$5:$A$2000,A104,'Stability Checks'!$C$5:$C$2000,"Re-prompt",'Stability Checks'!$E$5:$E$2000,"Pass"))</f>
        <v/>
      </c>
      <c r="R104" s="47">
        <f>IF(A104="","",'Run Plan'!Q104)</f>
        <v/>
      </c>
      <c r="S104" s="50" t="n"/>
    </row>
    <row r="105" ht="15.75" customHeight="1" s="40">
      <c r="A105" s="55">
        <f>IF('Run Plan'!A105="","",'Run Plan'!A105)</f>
        <v/>
      </c>
      <c r="B105" s="55">
        <f>IF(A105="","",'Run Plan'!C105)</f>
        <v/>
      </c>
      <c r="C105" s="55">
        <f>IF(A105="","",'Run Plan'!E105)</f>
        <v/>
      </c>
      <c r="D105" s="54">
        <f>IF(A105="","",'Run Plan'!G105)</f>
        <v/>
      </c>
      <c r="E105" s="47">
        <f>IF(A105="","",'Run Plan'!K105)</f>
        <v/>
      </c>
      <c r="F105" s="47">
        <f>IF(A105="","",'Run Plan'!J105)</f>
        <v/>
      </c>
      <c r="G105" s="56">
        <f>IF(A105="","",COUNTIF('Turn Log'!$B$5:$B$5000,A105))</f>
        <v/>
      </c>
      <c r="H105" s="56">
        <f>IF(A105="","",IFERROR(MINIFS('Turn Log'!$C$5:$C$5000,'Turn Log'!$B$5:$B$5000,A105,'Turn Log'!$Q$5:$Q$5000,"Pass"),""))</f>
        <v/>
      </c>
      <c r="I105" s="56">
        <f>IF(A105="","",IFERROR(MAXIFS('Turn Log'!$C$5:$C$5000,'Turn Log'!$B$5:$B$5000,A105),""))</f>
        <v/>
      </c>
      <c r="J105" s="56">
        <f>IF(A105="","",IFERROR(INDEX('Turn Log'!$Q$5:$Q$5000,MATCH(1,('Turn Log'!$B$5:$B$5000=A105)*('Turn Log'!$C$5:$C$5000=I105),0)),""))</f>
        <v/>
      </c>
      <c r="K105" s="56">
        <f>IF(A105="","",IFERROR(INDEX('Turn Log'!$R$5:$R$5000,MATCH(1,('Turn Log'!$B$5:$B$5000=A105)*('Turn Log'!$C$5:$C$5000=I105),0)),""))</f>
        <v/>
      </c>
      <c r="L105" s="56">
        <f>IF(A105="","",COUNTIFS('Turn Log'!$B$5:$B$5000,A105,'Turn Log'!$X$5:$X$5000,1))</f>
        <v/>
      </c>
      <c r="M105" s="56">
        <f>IF(A105="","",COUNTIFS('Turn Log'!$B$5:$B$5000,A105,'Turn Log'!$Y$5:$Y$5000,1))</f>
        <v/>
      </c>
      <c r="N105" s="56">
        <f>IF(A105="","",COUNTIFS('Turn Log'!$B$5:$B$5000,A105,'Turn Log'!$W$5:$W$5000,1))</f>
        <v/>
      </c>
      <c r="O105" s="56">
        <f>IF(H105="","No","Yes")</f>
        <v/>
      </c>
      <c r="P105" s="56">
        <f>IF(A105="","",COUNTIFS('Stability Checks'!$A$5:$A$2000,A105,'Stability Checks'!$C$5:$C$2000,"Re-execution",'Stability Checks'!$E$5:$E$2000,"Pass"))</f>
        <v/>
      </c>
      <c r="Q105" s="56">
        <f>IF(A105="","",COUNTIFS('Stability Checks'!$A$5:$A$2000,A105,'Stability Checks'!$C$5:$C$2000,"Re-prompt",'Stability Checks'!$E$5:$E$2000,"Pass"))</f>
        <v/>
      </c>
      <c r="R105" s="47">
        <f>IF(A105="","",'Run Plan'!Q105)</f>
        <v/>
      </c>
      <c r="S105" s="50" t="n"/>
    </row>
    <row r="106" ht="15.75" customHeight="1" s="40">
      <c r="A106" s="55">
        <f>IF('Run Plan'!A106="","",'Run Plan'!A106)</f>
        <v/>
      </c>
      <c r="B106" s="55">
        <f>IF(A106="","",'Run Plan'!C106)</f>
        <v/>
      </c>
      <c r="C106" s="55">
        <f>IF(A106="","",'Run Plan'!E106)</f>
        <v/>
      </c>
      <c r="D106" s="54">
        <f>IF(A106="","",'Run Plan'!G106)</f>
        <v/>
      </c>
      <c r="E106" s="47">
        <f>IF(A106="","",'Run Plan'!K106)</f>
        <v/>
      </c>
      <c r="F106" s="47">
        <f>IF(A106="","",'Run Plan'!J106)</f>
        <v/>
      </c>
      <c r="G106" s="56">
        <f>IF(A106="","",COUNTIF('Turn Log'!$B$5:$B$5000,A106))</f>
        <v/>
      </c>
      <c r="H106" s="56">
        <f>IF(A106="","",IFERROR(MINIFS('Turn Log'!$C$5:$C$5000,'Turn Log'!$B$5:$B$5000,A106,'Turn Log'!$Q$5:$Q$5000,"Pass"),""))</f>
        <v/>
      </c>
      <c r="I106" s="56">
        <f>IF(A106="","",IFERROR(MAXIFS('Turn Log'!$C$5:$C$5000,'Turn Log'!$B$5:$B$5000,A106),""))</f>
        <v/>
      </c>
      <c r="J106" s="56">
        <f>IF(A106="","",IFERROR(INDEX('Turn Log'!$Q$5:$Q$5000,MATCH(1,('Turn Log'!$B$5:$B$5000=A106)*('Turn Log'!$C$5:$C$5000=I106),0)),""))</f>
        <v/>
      </c>
      <c r="K106" s="56">
        <f>IF(A106="","",IFERROR(INDEX('Turn Log'!$R$5:$R$5000,MATCH(1,('Turn Log'!$B$5:$B$5000=A106)*('Turn Log'!$C$5:$C$5000=I106),0)),""))</f>
        <v/>
      </c>
      <c r="L106" s="56">
        <f>IF(A106="","",COUNTIFS('Turn Log'!$B$5:$B$5000,A106,'Turn Log'!$X$5:$X$5000,1))</f>
        <v/>
      </c>
      <c r="M106" s="56">
        <f>IF(A106="","",COUNTIFS('Turn Log'!$B$5:$B$5000,A106,'Turn Log'!$Y$5:$Y$5000,1))</f>
        <v/>
      </c>
      <c r="N106" s="56">
        <f>IF(A106="","",COUNTIFS('Turn Log'!$B$5:$B$5000,A106,'Turn Log'!$W$5:$W$5000,1))</f>
        <v/>
      </c>
      <c r="O106" s="56">
        <f>IF(H106="","No","Yes")</f>
        <v/>
      </c>
      <c r="P106" s="56">
        <f>IF(A106="","",COUNTIFS('Stability Checks'!$A$5:$A$2000,A106,'Stability Checks'!$C$5:$C$2000,"Re-execution",'Stability Checks'!$E$5:$E$2000,"Pass"))</f>
        <v/>
      </c>
      <c r="Q106" s="56">
        <f>IF(A106="","",COUNTIFS('Stability Checks'!$A$5:$A$2000,A106,'Stability Checks'!$C$5:$C$2000,"Re-prompt",'Stability Checks'!$E$5:$E$2000,"Pass"))</f>
        <v/>
      </c>
      <c r="R106" s="47">
        <f>IF(A106="","",'Run Plan'!Q106)</f>
        <v/>
      </c>
      <c r="S106" s="50" t="n"/>
    </row>
    <row r="107" ht="15.75" customHeight="1" s="40">
      <c r="A107" s="55">
        <f>IF('Run Plan'!A107="","",'Run Plan'!A107)</f>
        <v/>
      </c>
      <c r="B107" s="55">
        <f>IF(A107="","",'Run Plan'!C107)</f>
        <v/>
      </c>
      <c r="C107" s="55">
        <f>IF(A107="","",'Run Plan'!E107)</f>
        <v/>
      </c>
      <c r="D107" s="54">
        <f>IF(A107="","",'Run Plan'!G107)</f>
        <v/>
      </c>
      <c r="E107" s="47">
        <f>IF(A107="","",'Run Plan'!K107)</f>
        <v/>
      </c>
      <c r="F107" s="47">
        <f>IF(A107="","",'Run Plan'!J107)</f>
        <v/>
      </c>
      <c r="G107" s="56">
        <f>IF(A107="","",COUNTIF('Turn Log'!$B$5:$B$5000,A107))</f>
        <v/>
      </c>
      <c r="H107" s="56">
        <f>IF(A107="","",IFERROR(MINIFS('Turn Log'!$C$5:$C$5000,'Turn Log'!$B$5:$B$5000,A107,'Turn Log'!$Q$5:$Q$5000,"Pass"),""))</f>
        <v/>
      </c>
      <c r="I107" s="56">
        <f>IF(A107="","",IFERROR(MAXIFS('Turn Log'!$C$5:$C$5000,'Turn Log'!$B$5:$B$5000,A107),""))</f>
        <v/>
      </c>
      <c r="J107" s="56">
        <f>IF(A107="","",IFERROR(INDEX('Turn Log'!$Q$5:$Q$5000,MATCH(1,('Turn Log'!$B$5:$B$5000=A107)*('Turn Log'!$C$5:$C$5000=I107),0)),""))</f>
        <v/>
      </c>
      <c r="K107" s="56">
        <f>IF(A107="","",IFERROR(INDEX('Turn Log'!$R$5:$R$5000,MATCH(1,('Turn Log'!$B$5:$B$5000=A107)*('Turn Log'!$C$5:$C$5000=I107),0)),""))</f>
        <v/>
      </c>
      <c r="L107" s="56">
        <f>IF(A107="","",COUNTIFS('Turn Log'!$B$5:$B$5000,A107,'Turn Log'!$X$5:$X$5000,1))</f>
        <v/>
      </c>
      <c r="M107" s="56">
        <f>IF(A107="","",COUNTIFS('Turn Log'!$B$5:$B$5000,A107,'Turn Log'!$Y$5:$Y$5000,1))</f>
        <v/>
      </c>
      <c r="N107" s="56">
        <f>IF(A107="","",COUNTIFS('Turn Log'!$B$5:$B$5000,A107,'Turn Log'!$W$5:$W$5000,1))</f>
        <v/>
      </c>
      <c r="O107" s="56">
        <f>IF(H107="","No","Yes")</f>
        <v/>
      </c>
      <c r="P107" s="56">
        <f>IF(A107="","",COUNTIFS('Stability Checks'!$A$5:$A$2000,A107,'Stability Checks'!$C$5:$C$2000,"Re-execution",'Stability Checks'!$E$5:$E$2000,"Pass"))</f>
        <v/>
      </c>
      <c r="Q107" s="56">
        <f>IF(A107="","",COUNTIFS('Stability Checks'!$A$5:$A$2000,A107,'Stability Checks'!$C$5:$C$2000,"Re-prompt",'Stability Checks'!$E$5:$E$2000,"Pass"))</f>
        <v/>
      </c>
      <c r="R107" s="47">
        <f>IF(A107="","",'Run Plan'!Q107)</f>
        <v/>
      </c>
      <c r="S107" s="50" t="n"/>
    </row>
    <row r="108" ht="15.75" customHeight="1" s="40">
      <c r="A108" s="55">
        <f>IF('Run Plan'!A108="","",'Run Plan'!A108)</f>
        <v/>
      </c>
      <c r="B108" s="55">
        <f>IF(A108="","",'Run Plan'!C108)</f>
        <v/>
      </c>
      <c r="C108" s="55">
        <f>IF(A108="","",'Run Plan'!E108)</f>
        <v/>
      </c>
      <c r="D108" s="54">
        <f>IF(A108="","",'Run Plan'!G108)</f>
        <v/>
      </c>
      <c r="E108" s="47">
        <f>IF(A108="","",'Run Plan'!K108)</f>
        <v/>
      </c>
      <c r="F108" s="47">
        <f>IF(A108="","",'Run Plan'!J108)</f>
        <v/>
      </c>
      <c r="G108" s="56">
        <f>IF(A108="","",COUNTIF('Turn Log'!$B$5:$B$5000,A108))</f>
        <v/>
      </c>
      <c r="H108" s="56">
        <f>IF(A108="","",IFERROR(MINIFS('Turn Log'!$C$5:$C$5000,'Turn Log'!$B$5:$B$5000,A108,'Turn Log'!$Q$5:$Q$5000,"Pass"),""))</f>
        <v/>
      </c>
      <c r="I108" s="56">
        <f>IF(A108="","",IFERROR(MAXIFS('Turn Log'!$C$5:$C$5000,'Turn Log'!$B$5:$B$5000,A108),""))</f>
        <v/>
      </c>
      <c r="J108" s="56">
        <f>IF(A108="","",IFERROR(INDEX('Turn Log'!$Q$5:$Q$5000,MATCH(1,('Turn Log'!$B$5:$B$5000=A108)*('Turn Log'!$C$5:$C$5000=I108),0)),""))</f>
        <v/>
      </c>
      <c r="K108" s="56">
        <f>IF(A108="","",IFERROR(INDEX('Turn Log'!$R$5:$R$5000,MATCH(1,('Turn Log'!$B$5:$B$5000=A108)*('Turn Log'!$C$5:$C$5000=I108),0)),""))</f>
        <v/>
      </c>
      <c r="L108" s="56">
        <f>IF(A108="","",COUNTIFS('Turn Log'!$B$5:$B$5000,A108,'Turn Log'!$X$5:$X$5000,1))</f>
        <v/>
      </c>
      <c r="M108" s="56">
        <f>IF(A108="","",COUNTIFS('Turn Log'!$B$5:$B$5000,A108,'Turn Log'!$Y$5:$Y$5000,1))</f>
        <v/>
      </c>
      <c r="N108" s="56">
        <f>IF(A108="","",COUNTIFS('Turn Log'!$B$5:$B$5000,A108,'Turn Log'!$W$5:$W$5000,1))</f>
        <v/>
      </c>
      <c r="O108" s="56">
        <f>IF(H108="","No","Yes")</f>
        <v/>
      </c>
      <c r="P108" s="56">
        <f>IF(A108="","",COUNTIFS('Stability Checks'!$A$5:$A$2000,A108,'Stability Checks'!$C$5:$C$2000,"Re-execution",'Stability Checks'!$E$5:$E$2000,"Pass"))</f>
        <v/>
      </c>
      <c r="Q108" s="56">
        <f>IF(A108="","",COUNTIFS('Stability Checks'!$A$5:$A$2000,A108,'Stability Checks'!$C$5:$C$2000,"Re-prompt",'Stability Checks'!$E$5:$E$2000,"Pass"))</f>
        <v/>
      </c>
      <c r="R108" s="47">
        <f>IF(A108="","",'Run Plan'!Q108)</f>
        <v/>
      </c>
      <c r="S108" s="50" t="n"/>
    </row>
    <row r="109" ht="15.75" customHeight="1" s="40">
      <c r="A109" s="55">
        <f>IF('Run Plan'!A109="","",'Run Plan'!A109)</f>
        <v/>
      </c>
      <c r="B109" s="55">
        <f>IF(A109="","",'Run Plan'!C109)</f>
        <v/>
      </c>
      <c r="C109" s="55">
        <f>IF(A109="","",'Run Plan'!E109)</f>
        <v/>
      </c>
      <c r="D109" s="54">
        <f>IF(A109="","",'Run Plan'!G109)</f>
        <v/>
      </c>
      <c r="E109" s="47">
        <f>IF(A109="","",'Run Plan'!K109)</f>
        <v/>
      </c>
      <c r="F109" s="47">
        <f>IF(A109="","",'Run Plan'!J109)</f>
        <v/>
      </c>
      <c r="G109" s="56">
        <f>IF(A109="","",COUNTIF('Turn Log'!$B$5:$B$5000,A109))</f>
        <v/>
      </c>
      <c r="H109" s="56">
        <f>IF(A109="","",IFERROR(MINIFS('Turn Log'!$C$5:$C$5000,'Turn Log'!$B$5:$B$5000,A109,'Turn Log'!$Q$5:$Q$5000,"Pass"),""))</f>
        <v/>
      </c>
      <c r="I109" s="56">
        <f>IF(A109="","",IFERROR(MAXIFS('Turn Log'!$C$5:$C$5000,'Turn Log'!$B$5:$B$5000,A109),""))</f>
        <v/>
      </c>
      <c r="J109" s="56">
        <f>IF(A109="","",IFERROR(INDEX('Turn Log'!$Q$5:$Q$5000,MATCH(1,('Turn Log'!$B$5:$B$5000=A109)*('Turn Log'!$C$5:$C$5000=I109),0)),""))</f>
        <v/>
      </c>
      <c r="K109" s="56">
        <f>IF(A109="","",IFERROR(INDEX('Turn Log'!$R$5:$R$5000,MATCH(1,('Turn Log'!$B$5:$B$5000=A109)*('Turn Log'!$C$5:$C$5000=I109),0)),""))</f>
        <v/>
      </c>
      <c r="L109" s="56">
        <f>IF(A109="","",COUNTIFS('Turn Log'!$B$5:$B$5000,A109,'Turn Log'!$X$5:$X$5000,1))</f>
        <v/>
      </c>
      <c r="M109" s="56">
        <f>IF(A109="","",COUNTIFS('Turn Log'!$B$5:$B$5000,A109,'Turn Log'!$Y$5:$Y$5000,1))</f>
        <v/>
      </c>
      <c r="N109" s="56">
        <f>IF(A109="","",COUNTIFS('Turn Log'!$B$5:$B$5000,A109,'Turn Log'!$W$5:$W$5000,1))</f>
        <v/>
      </c>
      <c r="O109" s="56">
        <f>IF(H109="","No","Yes")</f>
        <v/>
      </c>
      <c r="P109" s="56">
        <f>IF(A109="","",COUNTIFS('Stability Checks'!$A$5:$A$2000,A109,'Stability Checks'!$C$5:$C$2000,"Re-execution",'Stability Checks'!$E$5:$E$2000,"Pass"))</f>
        <v/>
      </c>
      <c r="Q109" s="56">
        <f>IF(A109="","",COUNTIFS('Stability Checks'!$A$5:$A$2000,A109,'Stability Checks'!$C$5:$C$2000,"Re-prompt",'Stability Checks'!$E$5:$E$2000,"Pass"))</f>
        <v/>
      </c>
      <c r="R109" s="47">
        <f>IF(A109="","",'Run Plan'!Q109)</f>
        <v/>
      </c>
      <c r="S109" s="50" t="n"/>
    </row>
    <row r="110" ht="15.75" customHeight="1" s="40">
      <c r="A110" s="55">
        <f>IF('Run Plan'!A110="","",'Run Plan'!A110)</f>
        <v/>
      </c>
      <c r="B110" s="55">
        <f>IF(A110="","",'Run Plan'!C110)</f>
        <v/>
      </c>
      <c r="C110" s="55">
        <f>IF(A110="","",'Run Plan'!E110)</f>
        <v/>
      </c>
      <c r="D110" s="54">
        <f>IF(A110="","",'Run Plan'!G110)</f>
        <v/>
      </c>
      <c r="E110" s="47">
        <f>IF(A110="","",'Run Plan'!K110)</f>
        <v/>
      </c>
      <c r="F110" s="47">
        <f>IF(A110="","",'Run Plan'!J110)</f>
        <v/>
      </c>
      <c r="G110" s="56">
        <f>IF(A110="","",COUNTIF('Turn Log'!$B$5:$B$5000,A110))</f>
        <v/>
      </c>
      <c r="H110" s="56">
        <f>IF(A110="","",IFERROR(MINIFS('Turn Log'!$C$5:$C$5000,'Turn Log'!$B$5:$B$5000,A110,'Turn Log'!$Q$5:$Q$5000,"Pass"),""))</f>
        <v/>
      </c>
      <c r="I110" s="56">
        <f>IF(A110="","",IFERROR(MAXIFS('Turn Log'!$C$5:$C$5000,'Turn Log'!$B$5:$B$5000,A110),""))</f>
        <v/>
      </c>
      <c r="J110" s="56">
        <f>IF(A110="","",IFERROR(INDEX('Turn Log'!$Q$5:$Q$5000,MATCH(1,('Turn Log'!$B$5:$B$5000=A110)*('Turn Log'!$C$5:$C$5000=I110),0)),""))</f>
        <v/>
      </c>
      <c r="K110" s="56">
        <f>IF(A110="","",IFERROR(INDEX('Turn Log'!$R$5:$R$5000,MATCH(1,('Turn Log'!$B$5:$B$5000=A110)*('Turn Log'!$C$5:$C$5000=I110),0)),""))</f>
        <v/>
      </c>
      <c r="L110" s="56">
        <f>IF(A110="","",COUNTIFS('Turn Log'!$B$5:$B$5000,A110,'Turn Log'!$X$5:$X$5000,1))</f>
        <v/>
      </c>
      <c r="M110" s="56">
        <f>IF(A110="","",COUNTIFS('Turn Log'!$B$5:$B$5000,A110,'Turn Log'!$Y$5:$Y$5000,1))</f>
        <v/>
      </c>
      <c r="N110" s="56">
        <f>IF(A110="","",COUNTIFS('Turn Log'!$B$5:$B$5000,A110,'Turn Log'!$W$5:$W$5000,1))</f>
        <v/>
      </c>
      <c r="O110" s="56">
        <f>IF(H110="","No","Yes")</f>
        <v/>
      </c>
      <c r="P110" s="56">
        <f>IF(A110="","",COUNTIFS('Stability Checks'!$A$5:$A$2000,A110,'Stability Checks'!$C$5:$C$2000,"Re-execution",'Stability Checks'!$E$5:$E$2000,"Pass"))</f>
        <v/>
      </c>
      <c r="Q110" s="56">
        <f>IF(A110="","",COUNTIFS('Stability Checks'!$A$5:$A$2000,A110,'Stability Checks'!$C$5:$C$2000,"Re-prompt",'Stability Checks'!$E$5:$E$2000,"Pass"))</f>
        <v/>
      </c>
      <c r="R110" s="47">
        <f>IF(A110="","",'Run Plan'!Q110)</f>
        <v/>
      </c>
      <c r="S110" s="50" t="n"/>
    </row>
    <row r="111" ht="15.75" customHeight="1" s="40">
      <c r="A111" s="55">
        <f>IF('Run Plan'!A111="","",'Run Plan'!A111)</f>
        <v/>
      </c>
      <c r="B111" s="55">
        <f>IF(A111="","",'Run Plan'!C111)</f>
        <v/>
      </c>
      <c r="C111" s="55">
        <f>IF(A111="","",'Run Plan'!E111)</f>
        <v/>
      </c>
      <c r="D111" s="54">
        <f>IF(A111="","",'Run Plan'!G111)</f>
        <v/>
      </c>
      <c r="E111" s="47">
        <f>IF(A111="","",'Run Plan'!K111)</f>
        <v/>
      </c>
      <c r="F111" s="47">
        <f>IF(A111="","",'Run Plan'!J111)</f>
        <v/>
      </c>
      <c r="G111" s="56">
        <f>IF(A111="","",COUNTIF('Turn Log'!$B$5:$B$5000,A111))</f>
        <v/>
      </c>
      <c r="H111" s="56">
        <f>IF(A111="","",IFERROR(MINIFS('Turn Log'!$C$5:$C$5000,'Turn Log'!$B$5:$B$5000,A111,'Turn Log'!$Q$5:$Q$5000,"Pass"),""))</f>
        <v/>
      </c>
      <c r="I111" s="56">
        <f>IF(A111="","",IFERROR(MAXIFS('Turn Log'!$C$5:$C$5000,'Turn Log'!$B$5:$B$5000,A111),""))</f>
        <v/>
      </c>
      <c r="J111" s="56">
        <f>IF(A111="","",IFERROR(INDEX('Turn Log'!$Q$5:$Q$5000,MATCH(1,('Turn Log'!$B$5:$B$5000=A111)*('Turn Log'!$C$5:$C$5000=I111),0)),""))</f>
        <v/>
      </c>
      <c r="K111" s="56">
        <f>IF(A111="","",IFERROR(INDEX('Turn Log'!$R$5:$R$5000,MATCH(1,('Turn Log'!$B$5:$B$5000=A111)*('Turn Log'!$C$5:$C$5000=I111),0)),""))</f>
        <v/>
      </c>
      <c r="L111" s="56">
        <f>IF(A111="","",COUNTIFS('Turn Log'!$B$5:$B$5000,A111,'Turn Log'!$X$5:$X$5000,1))</f>
        <v/>
      </c>
      <c r="M111" s="56">
        <f>IF(A111="","",COUNTIFS('Turn Log'!$B$5:$B$5000,A111,'Turn Log'!$Y$5:$Y$5000,1))</f>
        <v/>
      </c>
      <c r="N111" s="56">
        <f>IF(A111="","",COUNTIFS('Turn Log'!$B$5:$B$5000,A111,'Turn Log'!$W$5:$W$5000,1))</f>
        <v/>
      </c>
      <c r="O111" s="56">
        <f>IF(H111="","No","Yes")</f>
        <v/>
      </c>
      <c r="P111" s="56">
        <f>IF(A111="","",COUNTIFS('Stability Checks'!$A$5:$A$2000,A111,'Stability Checks'!$C$5:$C$2000,"Re-execution",'Stability Checks'!$E$5:$E$2000,"Pass"))</f>
        <v/>
      </c>
      <c r="Q111" s="56">
        <f>IF(A111="","",COUNTIFS('Stability Checks'!$A$5:$A$2000,A111,'Stability Checks'!$C$5:$C$2000,"Re-prompt",'Stability Checks'!$E$5:$E$2000,"Pass"))</f>
        <v/>
      </c>
      <c r="R111" s="47">
        <f>IF(A111="","",'Run Plan'!Q111)</f>
        <v/>
      </c>
      <c r="S111" s="50" t="n"/>
    </row>
    <row r="112" ht="15.75" customHeight="1" s="40">
      <c r="A112" s="55">
        <f>IF('Run Plan'!A112="","",'Run Plan'!A112)</f>
        <v/>
      </c>
      <c r="B112" s="55">
        <f>IF(A112="","",'Run Plan'!C112)</f>
        <v/>
      </c>
      <c r="C112" s="55">
        <f>IF(A112="","",'Run Plan'!E112)</f>
        <v/>
      </c>
      <c r="D112" s="54">
        <f>IF(A112="","",'Run Plan'!G112)</f>
        <v/>
      </c>
      <c r="E112" s="47">
        <f>IF(A112="","",'Run Plan'!K112)</f>
        <v/>
      </c>
      <c r="F112" s="47">
        <f>IF(A112="","",'Run Plan'!J112)</f>
        <v/>
      </c>
      <c r="G112" s="56">
        <f>IF(A112="","",COUNTIF('Turn Log'!$B$5:$B$5000,A112))</f>
        <v/>
      </c>
      <c r="H112" s="56">
        <f>IF(A112="","",IFERROR(MINIFS('Turn Log'!$C$5:$C$5000,'Turn Log'!$B$5:$B$5000,A112,'Turn Log'!$Q$5:$Q$5000,"Pass"),""))</f>
        <v/>
      </c>
      <c r="I112" s="56">
        <f>IF(A112="","",IFERROR(MAXIFS('Turn Log'!$C$5:$C$5000,'Turn Log'!$B$5:$B$5000,A112),""))</f>
        <v/>
      </c>
      <c r="J112" s="56">
        <f>IF(A112="","",IFERROR(INDEX('Turn Log'!$Q$5:$Q$5000,MATCH(1,('Turn Log'!$B$5:$B$5000=A112)*('Turn Log'!$C$5:$C$5000=I112),0)),""))</f>
        <v/>
      </c>
      <c r="K112" s="56">
        <f>IF(A112="","",IFERROR(INDEX('Turn Log'!$R$5:$R$5000,MATCH(1,('Turn Log'!$B$5:$B$5000=A112)*('Turn Log'!$C$5:$C$5000=I112),0)),""))</f>
        <v/>
      </c>
      <c r="L112" s="56">
        <f>IF(A112="","",COUNTIFS('Turn Log'!$B$5:$B$5000,A112,'Turn Log'!$X$5:$X$5000,1))</f>
        <v/>
      </c>
      <c r="M112" s="56">
        <f>IF(A112="","",COUNTIFS('Turn Log'!$B$5:$B$5000,A112,'Turn Log'!$Y$5:$Y$5000,1))</f>
        <v/>
      </c>
      <c r="N112" s="56">
        <f>IF(A112="","",COUNTIFS('Turn Log'!$B$5:$B$5000,A112,'Turn Log'!$W$5:$W$5000,1))</f>
        <v/>
      </c>
      <c r="O112" s="56">
        <f>IF(H112="","No","Yes")</f>
        <v/>
      </c>
      <c r="P112" s="56">
        <f>IF(A112="","",COUNTIFS('Stability Checks'!$A$5:$A$2000,A112,'Stability Checks'!$C$5:$C$2000,"Re-execution",'Stability Checks'!$E$5:$E$2000,"Pass"))</f>
        <v/>
      </c>
      <c r="Q112" s="56">
        <f>IF(A112="","",COUNTIFS('Stability Checks'!$A$5:$A$2000,A112,'Stability Checks'!$C$5:$C$2000,"Re-prompt",'Stability Checks'!$E$5:$E$2000,"Pass"))</f>
        <v/>
      </c>
      <c r="R112" s="47">
        <f>IF(A112="","",'Run Plan'!Q112)</f>
        <v/>
      </c>
      <c r="S112" s="50" t="n"/>
    </row>
    <row r="113" ht="15.75" customHeight="1" s="40">
      <c r="A113" s="55">
        <f>IF('Run Plan'!A113="","",'Run Plan'!A113)</f>
        <v/>
      </c>
      <c r="B113" s="55">
        <f>IF(A113="","",'Run Plan'!C113)</f>
        <v/>
      </c>
      <c r="C113" s="55">
        <f>IF(A113="","",'Run Plan'!E113)</f>
        <v/>
      </c>
      <c r="D113" s="54">
        <f>IF(A113="","",'Run Plan'!G113)</f>
        <v/>
      </c>
      <c r="E113" s="47">
        <f>IF(A113="","",'Run Plan'!K113)</f>
        <v/>
      </c>
      <c r="F113" s="47">
        <f>IF(A113="","",'Run Plan'!J113)</f>
        <v/>
      </c>
      <c r="G113" s="56">
        <f>IF(A113="","",COUNTIF('Turn Log'!$B$5:$B$5000,A113))</f>
        <v/>
      </c>
      <c r="H113" s="56">
        <f>IF(A113="","",IFERROR(MINIFS('Turn Log'!$C$5:$C$5000,'Turn Log'!$B$5:$B$5000,A113,'Turn Log'!$Q$5:$Q$5000,"Pass"),""))</f>
        <v/>
      </c>
      <c r="I113" s="56">
        <f>IF(A113="","",IFERROR(MAXIFS('Turn Log'!$C$5:$C$5000,'Turn Log'!$B$5:$B$5000,A113),""))</f>
        <v/>
      </c>
      <c r="J113" s="56">
        <f>IF(A113="","",IFERROR(INDEX('Turn Log'!$Q$5:$Q$5000,MATCH(1,('Turn Log'!$B$5:$B$5000=A113)*('Turn Log'!$C$5:$C$5000=I113),0)),""))</f>
        <v/>
      </c>
      <c r="K113" s="56">
        <f>IF(A113="","",IFERROR(INDEX('Turn Log'!$R$5:$R$5000,MATCH(1,('Turn Log'!$B$5:$B$5000=A113)*('Turn Log'!$C$5:$C$5000=I113),0)),""))</f>
        <v/>
      </c>
      <c r="L113" s="56">
        <f>IF(A113="","",COUNTIFS('Turn Log'!$B$5:$B$5000,A113,'Turn Log'!$X$5:$X$5000,1))</f>
        <v/>
      </c>
      <c r="M113" s="56">
        <f>IF(A113="","",COUNTIFS('Turn Log'!$B$5:$B$5000,A113,'Turn Log'!$Y$5:$Y$5000,1))</f>
        <v/>
      </c>
      <c r="N113" s="56">
        <f>IF(A113="","",COUNTIFS('Turn Log'!$B$5:$B$5000,A113,'Turn Log'!$W$5:$W$5000,1))</f>
        <v/>
      </c>
      <c r="O113" s="56">
        <f>IF(H113="","No","Yes")</f>
        <v/>
      </c>
      <c r="P113" s="56">
        <f>IF(A113="","",COUNTIFS('Stability Checks'!$A$5:$A$2000,A113,'Stability Checks'!$C$5:$C$2000,"Re-execution",'Stability Checks'!$E$5:$E$2000,"Pass"))</f>
        <v/>
      </c>
      <c r="Q113" s="56">
        <f>IF(A113="","",COUNTIFS('Stability Checks'!$A$5:$A$2000,A113,'Stability Checks'!$C$5:$C$2000,"Re-prompt",'Stability Checks'!$E$5:$E$2000,"Pass"))</f>
        <v/>
      </c>
      <c r="R113" s="47">
        <f>IF(A113="","",'Run Plan'!Q113)</f>
        <v/>
      </c>
      <c r="S113" s="50" t="n"/>
    </row>
    <row r="114" ht="15.75" customHeight="1" s="40">
      <c r="A114" s="55">
        <f>IF('Run Plan'!A114="","",'Run Plan'!A114)</f>
        <v/>
      </c>
      <c r="B114" s="55">
        <f>IF(A114="","",'Run Plan'!C114)</f>
        <v/>
      </c>
      <c r="C114" s="55">
        <f>IF(A114="","",'Run Plan'!E114)</f>
        <v/>
      </c>
      <c r="D114" s="54">
        <f>IF(A114="","",'Run Plan'!G114)</f>
        <v/>
      </c>
      <c r="E114" s="47">
        <f>IF(A114="","",'Run Plan'!K114)</f>
        <v/>
      </c>
      <c r="F114" s="47">
        <f>IF(A114="","",'Run Plan'!J114)</f>
        <v/>
      </c>
      <c r="G114" s="56">
        <f>IF(A114="","",COUNTIF('Turn Log'!$B$5:$B$5000,A114))</f>
        <v/>
      </c>
      <c r="H114" s="56">
        <f>IF(A114="","",IFERROR(MINIFS('Turn Log'!$C$5:$C$5000,'Turn Log'!$B$5:$B$5000,A114,'Turn Log'!$Q$5:$Q$5000,"Pass"),""))</f>
        <v/>
      </c>
      <c r="I114" s="56">
        <f>IF(A114="","",IFERROR(MAXIFS('Turn Log'!$C$5:$C$5000,'Turn Log'!$B$5:$B$5000,A114),""))</f>
        <v/>
      </c>
      <c r="J114" s="56">
        <f>IF(A114="","",IFERROR(INDEX('Turn Log'!$Q$5:$Q$5000,MATCH(1,('Turn Log'!$B$5:$B$5000=A114)*('Turn Log'!$C$5:$C$5000=I114),0)),""))</f>
        <v/>
      </c>
      <c r="K114" s="56">
        <f>IF(A114="","",IFERROR(INDEX('Turn Log'!$R$5:$R$5000,MATCH(1,('Turn Log'!$B$5:$B$5000=A114)*('Turn Log'!$C$5:$C$5000=I114),0)),""))</f>
        <v/>
      </c>
      <c r="L114" s="56">
        <f>IF(A114="","",COUNTIFS('Turn Log'!$B$5:$B$5000,A114,'Turn Log'!$X$5:$X$5000,1))</f>
        <v/>
      </c>
      <c r="M114" s="56">
        <f>IF(A114="","",COUNTIFS('Turn Log'!$B$5:$B$5000,A114,'Turn Log'!$Y$5:$Y$5000,1))</f>
        <v/>
      </c>
      <c r="N114" s="56">
        <f>IF(A114="","",COUNTIFS('Turn Log'!$B$5:$B$5000,A114,'Turn Log'!$W$5:$W$5000,1))</f>
        <v/>
      </c>
      <c r="O114" s="56">
        <f>IF(H114="","No","Yes")</f>
        <v/>
      </c>
      <c r="P114" s="56">
        <f>IF(A114="","",COUNTIFS('Stability Checks'!$A$5:$A$2000,A114,'Stability Checks'!$C$5:$C$2000,"Re-execution",'Stability Checks'!$E$5:$E$2000,"Pass"))</f>
        <v/>
      </c>
      <c r="Q114" s="56">
        <f>IF(A114="","",COUNTIFS('Stability Checks'!$A$5:$A$2000,A114,'Stability Checks'!$C$5:$C$2000,"Re-prompt",'Stability Checks'!$E$5:$E$2000,"Pass"))</f>
        <v/>
      </c>
      <c r="R114" s="47">
        <f>IF(A114="","",'Run Plan'!Q114)</f>
        <v/>
      </c>
      <c r="S114" s="50" t="n"/>
    </row>
    <row r="115" ht="15.75" customHeight="1" s="40">
      <c r="A115" s="55">
        <f>IF('Run Plan'!A115="","",'Run Plan'!A115)</f>
        <v/>
      </c>
      <c r="B115" s="55">
        <f>IF(A115="","",'Run Plan'!C115)</f>
        <v/>
      </c>
      <c r="C115" s="55">
        <f>IF(A115="","",'Run Plan'!E115)</f>
        <v/>
      </c>
      <c r="D115" s="54">
        <f>IF(A115="","",'Run Plan'!G115)</f>
        <v/>
      </c>
      <c r="E115" s="47">
        <f>IF(A115="","",'Run Plan'!K115)</f>
        <v/>
      </c>
      <c r="F115" s="47">
        <f>IF(A115="","",'Run Plan'!J115)</f>
        <v/>
      </c>
      <c r="G115" s="56">
        <f>IF(A115="","",COUNTIF('Turn Log'!$B$5:$B$5000,A115))</f>
        <v/>
      </c>
      <c r="H115" s="56">
        <f>IF(A115="","",IFERROR(MINIFS('Turn Log'!$C$5:$C$5000,'Turn Log'!$B$5:$B$5000,A115,'Turn Log'!$Q$5:$Q$5000,"Pass"),""))</f>
        <v/>
      </c>
      <c r="I115" s="56">
        <f>IF(A115="","",IFERROR(MAXIFS('Turn Log'!$C$5:$C$5000,'Turn Log'!$B$5:$B$5000,A115),""))</f>
        <v/>
      </c>
      <c r="J115" s="56">
        <f>IF(A115="","",IFERROR(INDEX('Turn Log'!$Q$5:$Q$5000,MATCH(1,('Turn Log'!$B$5:$B$5000=A115)*('Turn Log'!$C$5:$C$5000=I115),0)),""))</f>
        <v/>
      </c>
      <c r="K115" s="56">
        <f>IF(A115="","",IFERROR(INDEX('Turn Log'!$R$5:$R$5000,MATCH(1,('Turn Log'!$B$5:$B$5000=A115)*('Turn Log'!$C$5:$C$5000=I115),0)),""))</f>
        <v/>
      </c>
      <c r="L115" s="56">
        <f>IF(A115="","",COUNTIFS('Turn Log'!$B$5:$B$5000,A115,'Turn Log'!$X$5:$X$5000,1))</f>
        <v/>
      </c>
      <c r="M115" s="56">
        <f>IF(A115="","",COUNTIFS('Turn Log'!$B$5:$B$5000,A115,'Turn Log'!$Y$5:$Y$5000,1))</f>
        <v/>
      </c>
      <c r="N115" s="56">
        <f>IF(A115="","",COUNTIFS('Turn Log'!$B$5:$B$5000,A115,'Turn Log'!$W$5:$W$5000,1))</f>
        <v/>
      </c>
      <c r="O115" s="56">
        <f>IF(H115="","No","Yes")</f>
        <v/>
      </c>
      <c r="P115" s="56">
        <f>IF(A115="","",COUNTIFS('Stability Checks'!$A$5:$A$2000,A115,'Stability Checks'!$C$5:$C$2000,"Re-execution",'Stability Checks'!$E$5:$E$2000,"Pass"))</f>
        <v/>
      </c>
      <c r="Q115" s="56">
        <f>IF(A115="","",COUNTIFS('Stability Checks'!$A$5:$A$2000,A115,'Stability Checks'!$C$5:$C$2000,"Re-prompt",'Stability Checks'!$E$5:$E$2000,"Pass"))</f>
        <v/>
      </c>
      <c r="R115" s="47">
        <f>IF(A115="","",'Run Plan'!Q115)</f>
        <v/>
      </c>
      <c r="S115" s="50" t="n"/>
    </row>
    <row r="116" ht="15.75" customHeight="1" s="40">
      <c r="A116" s="55">
        <f>IF('Run Plan'!A116="","",'Run Plan'!A116)</f>
        <v/>
      </c>
      <c r="B116" s="55">
        <f>IF(A116="","",'Run Plan'!C116)</f>
        <v/>
      </c>
      <c r="C116" s="55">
        <f>IF(A116="","",'Run Plan'!E116)</f>
        <v/>
      </c>
      <c r="D116" s="54">
        <f>IF(A116="","",'Run Plan'!G116)</f>
        <v/>
      </c>
      <c r="E116" s="47">
        <f>IF(A116="","",'Run Plan'!K116)</f>
        <v/>
      </c>
      <c r="F116" s="47">
        <f>IF(A116="","",'Run Plan'!J116)</f>
        <v/>
      </c>
      <c r="G116" s="56">
        <f>IF(A116="","",COUNTIF('Turn Log'!$B$5:$B$5000,A116))</f>
        <v/>
      </c>
      <c r="H116" s="56">
        <f>IF(A116="","",IFERROR(MINIFS('Turn Log'!$C$5:$C$5000,'Turn Log'!$B$5:$B$5000,A116,'Turn Log'!$Q$5:$Q$5000,"Pass"),""))</f>
        <v/>
      </c>
      <c r="I116" s="56">
        <f>IF(A116="","",IFERROR(MAXIFS('Turn Log'!$C$5:$C$5000,'Turn Log'!$B$5:$B$5000,A116),""))</f>
        <v/>
      </c>
      <c r="J116" s="56">
        <f>IF(A116="","",IFERROR(INDEX('Turn Log'!$Q$5:$Q$5000,MATCH(1,('Turn Log'!$B$5:$B$5000=A116)*('Turn Log'!$C$5:$C$5000=I116),0)),""))</f>
        <v/>
      </c>
      <c r="K116" s="56">
        <f>IF(A116="","",IFERROR(INDEX('Turn Log'!$R$5:$R$5000,MATCH(1,('Turn Log'!$B$5:$B$5000=A116)*('Turn Log'!$C$5:$C$5000=I116),0)),""))</f>
        <v/>
      </c>
      <c r="L116" s="56">
        <f>IF(A116="","",COUNTIFS('Turn Log'!$B$5:$B$5000,A116,'Turn Log'!$X$5:$X$5000,1))</f>
        <v/>
      </c>
      <c r="M116" s="56">
        <f>IF(A116="","",COUNTIFS('Turn Log'!$B$5:$B$5000,A116,'Turn Log'!$Y$5:$Y$5000,1))</f>
        <v/>
      </c>
      <c r="N116" s="56">
        <f>IF(A116="","",COUNTIFS('Turn Log'!$B$5:$B$5000,A116,'Turn Log'!$W$5:$W$5000,1))</f>
        <v/>
      </c>
      <c r="O116" s="56">
        <f>IF(H116="","No","Yes")</f>
        <v/>
      </c>
      <c r="P116" s="56">
        <f>IF(A116="","",COUNTIFS('Stability Checks'!$A$5:$A$2000,A116,'Stability Checks'!$C$5:$C$2000,"Re-execution",'Stability Checks'!$E$5:$E$2000,"Pass"))</f>
        <v/>
      </c>
      <c r="Q116" s="56">
        <f>IF(A116="","",COUNTIFS('Stability Checks'!$A$5:$A$2000,A116,'Stability Checks'!$C$5:$C$2000,"Re-prompt",'Stability Checks'!$E$5:$E$2000,"Pass"))</f>
        <v/>
      </c>
      <c r="R116" s="47">
        <f>IF(A116="","",'Run Plan'!Q116)</f>
        <v/>
      </c>
      <c r="S116" s="50" t="n"/>
    </row>
    <row r="117" ht="15.75" customHeight="1" s="40">
      <c r="A117" s="55">
        <f>IF('Run Plan'!A117="","",'Run Plan'!A117)</f>
        <v/>
      </c>
      <c r="B117" s="55">
        <f>IF(A117="","",'Run Plan'!C117)</f>
        <v/>
      </c>
      <c r="C117" s="55">
        <f>IF(A117="","",'Run Plan'!E117)</f>
        <v/>
      </c>
      <c r="D117" s="54">
        <f>IF(A117="","",'Run Plan'!G117)</f>
        <v/>
      </c>
      <c r="E117" s="47">
        <f>IF(A117="","",'Run Plan'!K117)</f>
        <v/>
      </c>
      <c r="F117" s="47">
        <f>IF(A117="","",'Run Plan'!J117)</f>
        <v/>
      </c>
      <c r="G117" s="56">
        <f>IF(A117="","",COUNTIF('Turn Log'!$B$5:$B$5000,A117))</f>
        <v/>
      </c>
      <c r="H117" s="56">
        <f>IF(A117="","",IFERROR(MINIFS('Turn Log'!$C$5:$C$5000,'Turn Log'!$B$5:$B$5000,A117,'Turn Log'!$Q$5:$Q$5000,"Pass"),""))</f>
        <v/>
      </c>
      <c r="I117" s="56">
        <f>IF(A117="","",IFERROR(MAXIFS('Turn Log'!$C$5:$C$5000,'Turn Log'!$B$5:$B$5000,A117),""))</f>
        <v/>
      </c>
      <c r="J117" s="56">
        <f>IF(A117="","",IFERROR(INDEX('Turn Log'!$Q$5:$Q$5000,MATCH(1,('Turn Log'!$B$5:$B$5000=A117)*('Turn Log'!$C$5:$C$5000=I117),0)),""))</f>
        <v/>
      </c>
      <c r="K117" s="56">
        <f>IF(A117="","",IFERROR(INDEX('Turn Log'!$R$5:$R$5000,MATCH(1,('Turn Log'!$B$5:$B$5000=A117)*('Turn Log'!$C$5:$C$5000=I117),0)),""))</f>
        <v/>
      </c>
      <c r="L117" s="56">
        <f>IF(A117="","",COUNTIFS('Turn Log'!$B$5:$B$5000,A117,'Turn Log'!$X$5:$X$5000,1))</f>
        <v/>
      </c>
      <c r="M117" s="56">
        <f>IF(A117="","",COUNTIFS('Turn Log'!$B$5:$B$5000,A117,'Turn Log'!$Y$5:$Y$5000,1))</f>
        <v/>
      </c>
      <c r="N117" s="56">
        <f>IF(A117="","",COUNTIFS('Turn Log'!$B$5:$B$5000,A117,'Turn Log'!$W$5:$W$5000,1))</f>
        <v/>
      </c>
      <c r="O117" s="56">
        <f>IF(H117="","No","Yes")</f>
        <v/>
      </c>
      <c r="P117" s="56">
        <f>IF(A117="","",COUNTIFS('Stability Checks'!$A$5:$A$2000,A117,'Stability Checks'!$C$5:$C$2000,"Re-execution",'Stability Checks'!$E$5:$E$2000,"Pass"))</f>
        <v/>
      </c>
      <c r="Q117" s="56">
        <f>IF(A117="","",COUNTIFS('Stability Checks'!$A$5:$A$2000,A117,'Stability Checks'!$C$5:$C$2000,"Re-prompt",'Stability Checks'!$E$5:$E$2000,"Pass"))</f>
        <v/>
      </c>
      <c r="R117" s="47">
        <f>IF(A117="","",'Run Plan'!Q117)</f>
        <v/>
      </c>
      <c r="S117" s="50" t="n"/>
    </row>
    <row r="118" ht="15.75" customHeight="1" s="40">
      <c r="A118" s="55">
        <f>IF('Run Plan'!A118="","",'Run Plan'!A118)</f>
        <v/>
      </c>
      <c r="B118" s="55">
        <f>IF(A118="","",'Run Plan'!C118)</f>
        <v/>
      </c>
      <c r="C118" s="55">
        <f>IF(A118="","",'Run Plan'!E118)</f>
        <v/>
      </c>
      <c r="D118" s="54">
        <f>IF(A118="","",'Run Plan'!G118)</f>
        <v/>
      </c>
      <c r="E118" s="47">
        <f>IF(A118="","",'Run Plan'!K118)</f>
        <v/>
      </c>
      <c r="F118" s="47">
        <f>IF(A118="","",'Run Plan'!J118)</f>
        <v/>
      </c>
      <c r="G118" s="56">
        <f>IF(A118="","",COUNTIF('Turn Log'!$B$5:$B$5000,A118))</f>
        <v/>
      </c>
      <c r="H118" s="56">
        <f>IF(A118="","",IFERROR(MINIFS('Turn Log'!$C$5:$C$5000,'Turn Log'!$B$5:$B$5000,A118,'Turn Log'!$Q$5:$Q$5000,"Pass"),""))</f>
        <v/>
      </c>
      <c r="I118" s="56">
        <f>IF(A118="","",IFERROR(MAXIFS('Turn Log'!$C$5:$C$5000,'Turn Log'!$B$5:$B$5000,A118),""))</f>
        <v/>
      </c>
      <c r="J118" s="56">
        <f>IF(A118="","",IFERROR(INDEX('Turn Log'!$Q$5:$Q$5000,MATCH(1,('Turn Log'!$B$5:$B$5000=A118)*('Turn Log'!$C$5:$C$5000=I118),0)),""))</f>
        <v/>
      </c>
      <c r="K118" s="56">
        <f>IF(A118="","",IFERROR(INDEX('Turn Log'!$R$5:$R$5000,MATCH(1,('Turn Log'!$B$5:$B$5000=A118)*('Turn Log'!$C$5:$C$5000=I118),0)),""))</f>
        <v/>
      </c>
      <c r="L118" s="56">
        <f>IF(A118="","",COUNTIFS('Turn Log'!$B$5:$B$5000,A118,'Turn Log'!$X$5:$X$5000,1))</f>
        <v/>
      </c>
      <c r="M118" s="56">
        <f>IF(A118="","",COUNTIFS('Turn Log'!$B$5:$B$5000,A118,'Turn Log'!$Y$5:$Y$5000,1))</f>
        <v/>
      </c>
      <c r="N118" s="56">
        <f>IF(A118="","",COUNTIFS('Turn Log'!$B$5:$B$5000,A118,'Turn Log'!$W$5:$W$5000,1))</f>
        <v/>
      </c>
      <c r="O118" s="56">
        <f>IF(H118="","No","Yes")</f>
        <v/>
      </c>
      <c r="P118" s="56">
        <f>IF(A118="","",COUNTIFS('Stability Checks'!$A$5:$A$2000,A118,'Stability Checks'!$C$5:$C$2000,"Re-execution",'Stability Checks'!$E$5:$E$2000,"Pass"))</f>
        <v/>
      </c>
      <c r="Q118" s="56">
        <f>IF(A118="","",COUNTIFS('Stability Checks'!$A$5:$A$2000,A118,'Stability Checks'!$C$5:$C$2000,"Re-prompt",'Stability Checks'!$E$5:$E$2000,"Pass"))</f>
        <v/>
      </c>
      <c r="R118" s="47">
        <f>IF(A118="","",'Run Plan'!Q118)</f>
        <v/>
      </c>
      <c r="S118" s="50" t="n"/>
    </row>
    <row r="119" ht="15.75" customHeight="1" s="40">
      <c r="A119" s="55">
        <f>IF('Run Plan'!A119="","",'Run Plan'!A119)</f>
        <v/>
      </c>
      <c r="B119" s="55">
        <f>IF(A119="","",'Run Plan'!C119)</f>
        <v/>
      </c>
      <c r="C119" s="55">
        <f>IF(A119="","",'Run Plan'!E119)</f>
        <v/>
      </c>
      <c r="D119" s="54">
        <f>IF(A119="","",'Run Plan'!G119)</f>
        <v/>
      </c>
      <c r="E119" s="47">
        <f>IF(A119="","",'Run Plan'!K119)</f>
        <v/>
      </c>
      <c r="F119" s="47">
        <f>IF(A119="","",'Run Plan'!J119)</f>
        <v/>
      </c>
      <c r="G119" s="56">
        <f>IF(A119="","",COUNTIF('Turn Log'!$B$5:$B$5000,A119))</f>
        <v/>
      </c>
      <c r="H119" s="56">
        <f>IF(A119="","",IFERROR(MINIFS('Turn Log'!$C$5:$C$5000,'Turn Log'!$B$5:$B$5000,A119,'Turn Log'!$Q$5:$Q$5000,"Pass"),""))</f>
        <v/>
      </c>
      <c r="I119" s="56">
        <f>IF(A119="","",IFERROR(MAXIFS('Turn Log'!$C$5:$C$5000,'Turn Log'!$B$5:$B$5000,A119),""))</f>
        <v/>
      </c>
      <c r="J119" s="56">
        <f>IF(A119="","",IFERROR(INDEX('Turn Log'!$Q$5:$Q$5000,MATCH(1,('Turn Log'!$B$5:$B$5000=A119)*('Turn Log'!$C$5:$C$5000=I119),0)),""))</f>
        <v/>
      </c>
      <c r="K119" s="56">
        <f>IF(A119="","",IFERROR(INDEX('Turn Log'!$R$5:$R$5000,MATCH(1,('Turn Log'!$B$5:$B$5000=A119)*('Turn Log'!$C$5:$C$5000=I119),0)),""))</f>
        <v/>
      </c>
      <c r="L119" s="56">
        <f>IF(A119="","",COUNTIFS('Turn Log'!$B$5:$B$5000,A119,'Turn Log'!$X$5:$X$5000,1))</f>
        <v/>
      </c>
      <c r="M119" s="56">
        <f>IF(A119="","",COUNTIFS('Turn Log'!$B$5:$B$5000,A119,'Turn Log'!$Y$5:$Y$5000,1))</f>
        <v/>
      </c>
      <c r="N119" s="56">
        <f>IF(A119="","",COUNTIFS('Turn Log'!$B$5:$B$5000,A119,'Turn Log'!$W$5:$W$5000,1))</f>
        <v/>
      </c>
      <c r="O119" s="56">
        <f>IF(H119="","No","Yes")</f>
        <v/>
      </c>
      <c r="P119" s="56">
        <f>IF(A119="","",COUNTIFS('Stability Checks'!$A$5:$A$2000,A119,'Stability Checks'!$C$5:$C$2000,"Re-execution",'Stability Checks'!$E$5:$E$2000,"Pass"))</f>
        <v/>
      </c>
      <c r="Q119" s="56">
        <f>IF(A119="","",COUNTIFS('Stability Checks'!$A$5:$A$2000,A119,'Stability Checks'!$C$5:$C$2000,"Re-prompt",'Stability Checks'!$E$5:$E$2000,"Pass"))</f>
        <v/>
      </c>
      <c r="R119" s="47">
        <f>IF(A119="","",'Run Plan'!Q119)</f>
        <v/>
      </c>
      <c r="S119" s="50" t="n"/>
    </row>
    <row r="120" ht="15.75" customHeight="1" s="40">
      <c r="A120" s="55">
        <f>IF('Run Plan'!A120="","",'Run Plan'!A120)</f>
        <v/>
      </c>
      <c r="B120" s="55">
        <f>IF(A120="","",'Run Plan'!C120)</f>
        <v/>
      </c>
      <c r="C120" s="55">
        <f>IF(A120="","",'Run Plan'!E120)</f>
        <v/>
      </c>
      <c r="D120" s="54">
        <f>IF(A120="","",'Run Plan'!G120)</f>
        <v/>
      </c>
      <c r="E120" s="47">
        <f>IF(A120="","",'Run Plan'!K120)</f>
        <v/>
      </c>
      <c r="F120" s="47">
        <f>IF(A120="","",'Run Plan'!J120)</f>
        <v/>
      </c>
      <c r="G120" s="56">
        <f>IF(A120="","",COUNTIF('Turn Log'!$B$5:$B$5000,A120))</f>
        <v/>
      </c>
      <c r="H120" s="56">
        <f>IF(A120="","",IFERROR(MINIFS('Turn Log'!$C$5:$C$5000,'Turn Log'!$B$5:$B$5000,A120,'Turn Log'!$Q$5:$Q$5000,"Pass"),""))</f>
        <v/>
      </c>
      <c r="I120" s="56">
        <f>IF(A120="","",IFERROR(MAXIFS('Turn Log'!$C$5:$C$5000,'Turn Log'!$B$5:$B$5000,A120),""))</f>
        <v/>
      </c>
      <c r="J120" s="56">
        <f>IF(A120="","",IFERROR(INDEX('Turn Log'!$Q$5:$Q$5000,MATCH(1,('Turn Log'!$B$5:$B$5000=A120)*('Turn Log'!$C$5:$C$5000=I120),0)),""))</f>
        <v/>
      </c>
      <c r="K120" s="56">
        <f>IF(A120="","",IFERROR(INDEX('Turn Log'!$R$5:$R$5000,MATCH(1,('Turn Log'!$B$5:$B$5000=A120)*('Turn Log'!$C$5:$C$5000=I120),0)),""))</f>
        <v/>
      </c>
      <c r="L120" s="56">
        <f>IF(A120="","",COUNTIFS('Turn Log'!$B$5:$B$5000,A120,'Turn Log'!$X$5:$X$5000,1))</f>
        <v/>
      </c>
      <c r="M120" s="56">
        <f>IF(A120="","",COUNTIFS('Turn Log'!$B$5:$B$5000,A120,'Turn Log'!$Y$5:$Y$5000,1))</f>
        <v/>
      </c>
      <c r="N120" s="56">
        <f>IF(A120="","",COUNTIFS('Turn Log'!$B$5:$B$5000,A120,'Turn Log'!$W$5:$W$5000,1))</f>
        <v/>
      </c>
      <c r="O120" s="56">
        <f>IF(H120="","No","Yes")</f>
        <v/>
      </c>
      <c r="P120" s="56">
        <f>IF(A120="","",COUNTIFS('Stability Checks'!$A$5:$A$2000,A120,'Stability Checks'!$C$5:$C$2000,"Re-execution",'Stability Checks'!$E$5:$E$2000,"Pass"))</f>
        <v/>
      </c>
      <c r="Q120" s="56">
        <f>IF(A120="","",COUNTIFS('Stability Checks'!$A$5:$A$2000,A120,'Stability Checks'!$C$5:$C$2000,"Re-prompt",'Stability Checks'!$E$5:$E$2000,"Pass"))</f>
        <v/>
      </c>
      <c r="R120" s="47">
        <f>IF(A120="","",'Run Plan'!Q120)</f>
        <v/>
      </c>
      <c r="S120" s="50" t="n"/>
    </row>
    <row r="121" ht="15.75" customHeight="1" s="40">
      <c r="A121" s="55">
        <f>IF('Run Plan'!A121="","",'Run Plan'!A121)</f>
        <v/>
      </c>
      <c r="B121" s="55">
        <f>IF(A121="","",'Run Plan'!C121)</f>
        <v/>
      </c>
      <c r="C121" s="55">
        <f>IF(A121="","",'Run Plan'!E121)</f>
        <v/>
      </c>
      <c r="D121" s="54">
        <f>IF(A121="","",'Run Plan'!G121)</f>
        <v/>
      </c>
      <c r="E121" s="47">
        <f>IF(A121="","",'Run Plan'!K121)</f>
        <v/>
      </c>
      <c r="F121" s="47">
        <f>IF(A121="","",'Run Plan'!J121)</f>
        <v/>
      </c>
      <c r="G121" s="56">
        <f>IF(A121="","",COUNTIF('Turn Log'!$B$5:$B$5000,A121))</f>
        <v/>
      </c>
      <c r="H121" s="56">
        <f>IF(A121="","",IFERROR(MINIFS('Turn Log'!$C$5:$C$5000,'Turn Log'!$B$5:$B$5000,A121,'Turn Log'!$Q$5:$Q$5000,"Pass"),""))</f>
        <v/>
      </c>
      <c r="I121" s="56">
        <f>IF(A121="","",IFERROR(MAXIFS('Turn Log'!$C$5:$C$5000,'Turn Log'!$B$5:$B$5000,A121),""))</f>
        <v/>
      </c>
      <c r="J121" s="56">
        <f>IF(A121="","",IFERROR(INDEX('Turn Log'!$Q$5:$Q$5000,MATCH(1,('Turn Log'!$B$5:$B$5000=A121)*('Turn Log'!$C$5:$C$5000=I121),0)),""))</f>
        <v/>
      </c>
      <c r="K121" s="56">
        <f>IF(A121="","",IFERROR(INDEX('Turn Log'!$R$5:$R$5000,MATCH(1,('Turn Log'!$B$5:$B$5000=A121)*('Turn Log'!$C$5:$C$5000=I121),0)),""))</f>
        <v/>
      </c>
      <c r="L121" s="56">
        <f>IF(A121="","",COUNTIFS('Turn Log'!$B$5:$B$5000,A121,'Turn Log'!$X$5:$X$5000,1))</f>
        <v/>
      </c>
      <c r="M121" s="56">
        <f>IF(A121="","",COUNTIFS('Turn Log'!$B$5:$B$5000,A121,'Turn Log'!$Y$5:$Y$5000,1))</f>
        <v/>
      </c>
      <c r="N121" s="56">
        <f>IF(A121="","",COUNTIFS('Turn Log'!$B$5:$B$5000,A121,'Turn Log'!$W$5:$W$5000,1))</f>
        <v/>
      </c>
      <c r="O121" s="56">
        <f>IF(H121="","No","Yes")</f>
        <v/>
      </c>
      <c r="P121" s="56">
        <f>IF(A121="","",COUNTIFS('Stability Checks'!$A$5:$A$2000,A121,'Stability Checks'!$C$5:$C$2000,"Re-execution",'Stability Checks'!$E$5:$E$2000,"Pass"))</f>
        <v/>
      </c>
      <c r="Q121" s="56">
        <f>IF(A121="","",COUNTIFS('Stability Checks'!$A$5:$A$2000,A121,'Stability Checks'!$C$5:$C$2000,"Re-prompt",'Stability Checks'!$E$5:$E$2000,"Pass"))</f>
        <v/>
      </c>
      <c r="R121" s="47">
        <f>IF(A121="","",'Run Plan'!Q121)</f>
        <v/>
      </c>
      <c r="S121" s="50" t="n"/>
    </row>
    <row r="122" ht="15.75" customHeight="1" s="40">
      <c r="A122" s="55">
        <f>IF('Run Plan'!A122="","",'Run Plan'!A122)</f>
        <v/>
      </c>
      <c r="B122" s="55">
        <f>IF(A122="","",'Run Plan'!C122)</f>
        <v/>
      </c>
      <c r="C122" s="55">
        <f>IF(A122="","",'Run Plan'!E122)</f>
        <v/>
      </c>
      <c r="D122" s="54">
        <f>IF(A122="","",'Run Plan'!G122)</f>
        <v/>
      </c>
      <c r="E122" s="47">
        <f>IF(A122="","",'Run Plan'!K122)</f>
        <v/>
      </c>
      <c r="F122" s="47">
        <f>IF(A122="","",'Run Plan'!J122)</f>
        <v/>
      </c>
      <c r="G122" s="56">
        <f>IF(A122="","",COUNTIF('Turn Log'!$B$5:$B$5000,A122))</f>
        <v/>
      </c>
      <c r="H122" s="56">
        <f>IF(A122="","",IFERROR(MINIFS('Turn Log'!$C$5:$C$5000,'Turn Log'!$B$5:$B$5000,A122,'Turn Log'!$Q$5:$Q$5000,"Pass"),""))</f>
        <v/>
      </c>
      <c r="I122" s="56">
        <f>IF(A122="","",IFERROR(MAXIFS('Turn Log'!$C$5:$C$5000,'Turn Log'!$B$5:$B$5000,A122),""))</f>
        <v/>
      </c>
      <c r="J122" s="56">
        <f>IF(A122="","",IFERROR(INDEX('Turn Log'!$Q$5:$Q$5000,MATCH(1,('Turn Log'!$B$5:$B$5000=A122)*('Turn Log'!$C$5:$C$5000=I122),0)),""))</f>
        <v/>
      </c>
      <c r="K122" s="56">
        <f>IF(A122="","",IFERROR(INDEX('Turn Log'!$R$5:$R$5000,MATCH(1,('Turn Log'!$B$5:$B$5000=A122)*('Turn Log'!$C$5:$C$5000=I122),0)),""))</f>
        <v/>
      </c>
      <c r="L122" s="56">
        <f>IF(A122="","",COUNTIFS('Turn Log'!$B$5:$B$5000,A122,'Turn Log'!$X$5:$X$5000,1))</f>
        <v/>
      </c>
      <c r="M122" s="56">
        <f>IF(A122="","",COUNTIFS('Turn Log'!$B$5:$B$5000,A122,'Turn Log'!$Y$5:$Y$5000,1))</f>
        <v/>
      </c>
      <c r="N122" s="56">
        <f>IF(A122="","",COUNTIFS('Turn Log'!$B$5:$B$5000,A122,'Turn Log'!$W$5:$W$5000,1))</f>
        <v/>
      </c>
      <c r="O122" s="56">
        <f>IF(H122="","No","Yes")</f>
        <v/>
      </c>
      <c r="P122" s="56">
        <f>IF(A122="","",COUNTIFS('Stability Checks'!$A$5:$A$2000,A122,'Stability Checks'!$C$5:$C$2000,"Re-execution",'Stability Checks'!$E$5:$E$2000,"Pass"))</f>
        <v/>
      </c>
      <c r="Q122" s="56">
        <f>IF(A122="","",COUNTIFS('Stability Checks'!$A$5:$A$2000,A122,'Stability Checks'!$C$5:$C$2000,"Re-prompt",'Stability Checks'!$E$5:$E$2000,"Pass"))</f>
        <v/>
      </c>
      <c r="R122" s="47">
        <f>IF(A122="","",'Run Plan'!Q122)</f>
        <v/>
      </c>
      <c r="S122" s="50" t="n"/>
    </row>
    <row r="123" ht="15.75" customHeight="1" s="40">
      <c r="A123" s="55">
        <f>IF('Run Plan'!A123="","",'Run Plan'!A123)</f>
        <v/>
      </c>
      <c r="B123" s="55">
        <f>IF(A123="","",'Run Plan'!C123)</f>
        <v/>
      </c>
      <c r="C123" s="55">
        <f>IF(A123="","",'Run Plan'!E123)</f>
        <v/>
      </c>
      <c r="D123" s="54">
        <f>IF(A123="","",'Run Plan'!G123)</f>
        <v/>
      </c>
      <c r="E123" s="47">
        <f>IF(A123="","",'Run Plan'!K123)</f>
        <v/>
      </c>
      <c r="F123" s="47">
        <f>IF(A123="","",'Run Plan'!J123)</f>
        <v/>
      </c>
      <c r="G123" s="56">
        <f>IF(A123="","",COUNTIF('Turn Log'!$B$5:$B$5000,A123))</f>
        <v/>
      </c>
      <c r="H123" s="56">
        <f>IF(A123="","",IFERROR(MINIFS('Turn Log'!$C$5:$C$5000,'Turn Log'!$B$5:$B$5000,A123,'Turn Log'!$Q$5:$Q$5000,"Pass"),""))</f>
        <v/>
      </c>
      <c r="I123" s="56">
        <f>IF(A123="","",IFERROR(MAXIFS('Turn Log'!$C$5:$C$5000,'Turn Log'!$B$5:$B$5000,A123),""))</f>
        <v/>
      </c>
      <c r="J123" s="56">
        <f>IF(A123="","",IFERROR(INDEX('Turn Log'!$Q$5:$Q$5000,MATCH(1,('Turn Log'!$B$5:$B$5000=A123)*('Turn Log'!$C$5:$C$5000=I123),0)),""))</f>
        <v/>
      </c>
      <c r="K123" s="56">
        <f>IF(A123="","",IFERROR(INDEX('Turn Log'!$R$5:$R$5000,MATCH(1,('Turn Log'!$B$5:$B$5000=A123)*('Turn Log'!$C$5:$C$5000=I123),0)),""))</f>
        <v/>
      </c>
      <c r="L123" s="56">
        <f>IF(A123="","",COUNTIFS('Turn Log'!$B$5:$B$5000,A123,'Turn Log'!$X$5:$X$5000,1))</f>
        <v/>
      </c>
      <c r="M123" s="56">
        <f>IF(A123="","",COUNTIFS('Turn Log'!$B$5:$B$5000,A123,'Turn Log'!$Y$5:$Y$5000,1))</f>
        <v/>
      </c>
      <c r="N123" s="56">
        <f>IF(A123="","",COUNTIFS('Turn Log'!$B$5:$B$5000,A123,'Turn Log'!$W$5:$W$5000,1))</f>
        <v/>
      </c>
      <c r="O123" s="56">
        <f>IF(H123="","No","Yes")</f>
        <v/>
      </c>
      <c r="P123" s="56">
        <f>IF(A123="","",COUNTIFS('Stability Checks'!$A$5:$A$2000,A123,'Stability Checks'!$C$5:$C$2000,"Re-execution",'Stability Checks'!$E$5:$E$2000,"Pass"))</f>
        <v/>
      </c>
      <c r="Q123" s="56">
        <f>IF(A123="","",COUNTIFS('Stability Checks'!$A$5:$A$2000,A123,'Stability Checks'!$C$5:$C$2000,"Re-prompt",'Stability Checks'!$E$5:$E$2000,"Pass"))</f>
        <v/>
      </c>
      <c r="R123" s="47">
        <f>IF(A123="","",'Run Plan'!Q123)</f>
        <v/>
      </c>
      <c r="S123" s="50" t="n"/>
    </row>
    <row r="124" ht="15.75" customHeight="1" s="40">
      <c r="A124" s="55">
        <f>IF('Run Plan'!A124="","",'Run Plan'!A124)</f>
        <v/>
      </c>
      <c r="B124" s="55">
        <f>IF(A124="","",'Run Plan'!C124)</f>
        <v/>
      </c>
      <c r="C124" s="55">
        <f>IF(A124="","",'Run Plan'!E124)</f>
        <v/>
      </c>
      <c r="D124" s="54">
        <f>IF(A124="","",'Run Plan'!G124)</f>
        <v/>
      </c>
      <c r="E124" s="47">
        <f>IF(A124="","",'Run Plan'!K124)</f>
        <v/>
      </c>
      <c r="F124" s="47">
        <f>IF(A124="","",'Run Plan'!J124)</f>
        <v/>
      </c>
      <c r="G124" s="56">
        <f>IF(A124="","",COUNTIF('Turn Log'!$B$5:$B$5000,A124))</f>
        <v/>
      </c>
      <c r="H124" s="56">
        <f>IF(A124="","",IFERROR(MINIFS('Turn Log'!$C$5:$C$5000,'Turn Log'!$B$5:$B$5000,A124,'Turn Log'!$Q$5:$Q$5000,"Pass"),""))</f>
        <v/>
      </c>
      <c r="I124" s="56">
        <f>IF(A124="","",IFERROR(MAXIFS('Turn Log'!$C$5:$C$5000,'Turn Log'!$B$5:$B$5000,A124),""))</f>
        <v/>
      </c>
      <c r="J124" s="56">
        <f>IF(A124="","",IFERROR(INDEX('Turn Log'!$Q$5:$Q$5000,MATCH(1,('Turn Log'!$B$5:$B$5000=A124)*('Turn Log'!$C$5:$C$5000=I124),0)),""))</f>
        <v/>
      </c>
      <c r="K124" s="56">
        <f>IF(A124="","",IFERROR(INDEX('Turn Log'!$R$5:$R$5000,MATCH(1,('Turn Log'!$B$5:$B$5000=A124)*('Turn Log'!$C$5:$C$5000=I124),0)),""))</f>
        <v/>
      </c>
      <c r="L124" s="56">
        <f>IF(A124="","",COUNTIFS('Turn Log'!$B$5:$B$5000,A124,'Turn Log'!$X$5:$X$5000,1))</f>
        <v/>
      </c>
      <c r="M124" s="56">
        <f>IF(A124="","",COUNTIFS('Turn Log'!$B$5:$B$5000,A124,'Turn Log'!$Y$5:$Y$5000,1))</f>
        <v/>
      </c>
      <c r="N124" s="56">
        <f>IF(A124="","",COUNTIFS('Turn Log'!$B$5:$B$5000,A124,'Turn Log'!$W$5:$W$5000,1))</f>
        <v/>
      </c>
      <c r="O124" s="56">
        <f>IF(H124="","No","Yes")</f>
        <v/>
      </c>
      <c r="P124" s="56">
        <f>IF(A124="","",COUNTIFS('Stability Checks'!$A$5:$A$2000,A124,'Stability Checks'!$C$5:$C$2000,"Re-execution",'Stability Checks'!$E$5:$E$2000,"Pass"))</f>
        <v/>
      </c>
      <c r="Q124" s="56">
        <f>IF(A124="","",COUNTIFS('Stability Checks'!$A$5:$A$2000,A124,'Stability Checks'!$C$5:$C$2000,"Re-prompt",'Stability Checks'!$E$5:$E$2000,"Pass"))</f>
        <v/>
      </c>
      <c r="R124" s="47">
        <f>IF(A124="","",'Run Plan'!Q124)</f>
        <v/>
      </c>
      <c r="S124" s="50" t="n"/>
    </row>
    <row r="125" ht="15.75" customHeight="1" s="40">
      <c r="A125" s="55">
        <f>IF('Run Plan'!A125="","",'Run Plan'!A125)</f>
        <v/>
      </c>
      <c r="B125" s="55">
        <f>IF(A125="","",'Run Plan'!C125)</f>
        <v/>
      </c>
      <c r="C125" s="55">
        <f>IF(A125="","",'Run Plan'!E125)</f>
        <v/>
      </c>
      <c r="D125" s="54">
        <f>IF(A125="","",'Run Plan'!G125)</f>
        <v/>
      </c>
      <c r="E125" s="47">
        <f>IF(A125="","",'Run Plan'!K125)</f>
        <v/>
      </c>
      <c r="F125" s="47">
        <f>IF(A125="","",'Run Plan'!J125)</f>
        <v/>
      </c>
      <c r="G125" s="56">
        <f>IF(A125="","",COUNTIF('Turn Log'!$B$5:$B$5000,A125))</f>
        <v/>
      </c>
      <c r="H125" s="56">
        <f>IF(A125="","",IFERROR(MINIFS('Turn Log'!$C$5:$C$5000,'Turn Log'!$B$5:$B$5000,A125,'Turn Log'!$Q$5:$Q$5000,"Pass"),""))</f>
        <v/>
      </c>
      <c r="I125" s="56">
        <f>IF(A125="","",IFERROR(MAXIFS('Turn Log'!$C$5:$C$5000,'Turn Log'!$B$5:$B$5000,A125),""))</f>
        <v/>
      </c>
      <c r="J125" s="56">
        <f>IF(A125="","",IFERROR(INDEX('Turn Log'!$Q$5:$Q$5000,MATCH(1,('Turn Log'!$B$5:$B$5000=A125)*('Turn Log'!$C$5:$C$5000=I125),0)),""))</f>
        <v/>
      </c>
      <c r="K125" s="56">
        <f>IF(A125="","",IFERROR(INDEX('Turn Log'!$R$5:$R$5000,MATCH(1,('Turn Log'!$B$5:$B$5000=A125)*('Turn Log'!$C$5:$C$5000=I125),0)),""))</f>
        <v/>
      </c>
      <c r="L125" s="56">
        <f>IF(A125="","",COUNTIFS('Turn Log'!$B$5:$B$5000,A125,'Turn Log'!$X$5:$X$5000,1))</f>
        <v/>
      </c>
      <c r="M125" s="56">
        <f>IF(A125="","",COUNTIFS('Turn Log'!$B$5:$B$5000,A125,'Turn Log'!$Y$5:$Y$5000,1))</f>
        <v/>
      </c>
      <c r="N125" s="56">
        <f>IF(A125="","",COUNTIFS('Turn Log'!$B$5:$B$5000,A125,'Turn Log'!$W$5:$W$5000,1))</f>
        <v/>
      </c>
      <c r="O125" s="56">
        <f>IF(H125="","No","Yes")</f>
        <v/>
      </c>
      <c r="P125" s="56">
        <f>IF(A125="","",COUNTIFS('Stability Checks'!$A$5:$A$2000,A125,'Stability Checks'!$C$5:$C$2000,"Re-execution",'Stability Checks'!$E$5:$E$2000,"Pass"))</f>
        <v/>
      </c>
      <c r="Q125" s="56">
        <f>IF(A125="","",COUNTIFS('Stability Checks'!$A$5:$A$2000,A125,'Stability Checks'!$C$5:$C$2000,"Re-prompt",'Stability Checks'!$E$5:$E$2000,"Pass"))</f>
        <v/>
      </c>
      <c r="R125" s="47">
        <f>IF(A125="","",'Run Plan'!Q125)</f>
        <v/>
      </c>
      <c r="S125" s="50" t="n"/>
    </row>
    <row r="126" ht="15.75" customHeight="1" s="40">
      <c r="A126" s="55">
        <f>IF('Run Plan'!A126="","",'Run Plan'!A126)</f>
        <v/>
      </c>
      <c r="B126" s="55">
        <f>IF(A126="","",'Run Plan'!C126)</f>
        <v/>
      </c>
      <c r="C126" s="55">
        <f>IF(A126="","",'Run Plan'!E126)</f>
        <v/>
      </c>
      <c r="D126" s="54">
        <f>IF(A126="","",'Run Plan'!G126)</f>
        <v/>
      </c>
      <c r="E126" s="47">
        <f>IF(A126="","",'Run Plan'!K126)</f>
        <v/>
      </c>
      <c r="F126" s="47">
        <f>IF(A126="","",'Run Plan'!J126)</f>
        <v/>
      </c>
      <c r="G126" s="56">
        <f>IF(A126="","",COUNTIF('Turn Log'!$B$5:$B$5000,A126))</f>
        <v/>
      </c>
      <c r="H126" s="56">
        <f>IF(A126="","",IFERROR(MINIFS('Turn Log'!$C$5:$C$5000,'Turn Log'!$B$5:$B$5000,A126,'Turn Log'!$Q$5:$Q$5000,"Pass"),""))</f>
        <v/>
      </c>
      <c r="I126" s="56">
        <f>IF(A126="","",IFERROR(MAXIFS('Turn Log'!$C$5:$C$5000,'Turn Log'!$B$5:$B$5000,A126),""))</f>
        <v/>
      </c>
      <c r="J126" s="56">
        <f>IF(A126="","",IFERROR(INDEX('Turn Log'!$Q$5:$Q$5000,MATCH(1,('Turn Log'!$B$5:$B$5000=A126)*('Turn Log'!$C$5:$C$5000=I126),0)),""))</f>
        <v/>
      </c>
      <c r="K126" s="56">
        <f>IF(A126="","",IFERROR(INDEX('Turn Log'!$R$5:$R$5000,MATCH(1,('Turn Log'!$B$5:$B$5000=A126)*('Turn Log'!$C$5:$C$5000=I126),0)),""))</f>
        <v/>
      </c>
      <c r="L126" s="56">
        <f>IF(A126="","",COUNTIFS('Turn Log'!$B$5:$B$5000,A126,'Turn Log'!$X$5:$X$5000,1))</f>
        <v/>
      </c>
      <c r="M126" s="56">
        <f>IF(A126="","",COUNTIFS('Turn Log'!$B$5:$B$5000,A126,'Turn Log'!$Y$5:$Y$5000,1))</f>
        <v/>
      </c>
      <c r="N126" s="56">
        <f>IF(A126="","",COUNTIFS('Turn Log'!$B$5:$B$5000,A126,'Turn Log'!$W$5:$W$5000,1))</f>
        <v/>
      </c>
      <c r="O126" s="56">
        <f>IF(H126="","No","Yes")</f>
        <v/>
      </c>
      <c r="P126" s="56">
        <f>IF(A126="","",COUNTIFS('Stability Checks'!$A$5:$A$2000,A126,'Stability Checks'!$C$5:$C$2000,"Re-execution",'Stability Checks'!$E$5:$E$2000,"Pass"))</f>
        <v/>
      </c>
      <c r="Q126" s="56">
        <f>IF(A126="","",COUNTIFS('Stability Checks'!$A$5:$A$2000,A126,'Stability Checks'!$C$5:$C$2000,"Re-prompt",'Stability Checks'!$E$5:$E$2000,"Pass"))</f>
        <v/>
      </c>
      <c r="R126" s="47">
        <f>IF(A126="","",'Run Plan'!Q126)</f>
        <v/>
      </c>
      <c r="S126" s="50" t="n"/>
    </row>
    <row r="127" ht="15.75" customHeight="1" s="40">
      <c r="A127" s="55">
        <f>IF('Run Plan'!A127="","",'Run Plan'!A127)</f>
        <v/>
      </c>
      <c r="B127" s="55">
        <f>IF(A127="","",'Run Plan'!C127)</f>
        <v/>
      </c>
      <c r="C127" s="55">
        <f>IF(A127="","",'Run Plan'!E127)</f>
        <v/>
      </c>
      <c r="D127" s="54">
        <f>IF(A127="","",'Run Plan'!G127)</f>
        <v/>
      </c>
      <c r="E127" s="47">
        <f>IF(A127="","",'Run Plan'!K127)</f>
        <v/>
      </c>
      <c r="F127" s="47">
        <f>IF(A127="","",'Run Plan'!J127)</f>
        <v/>
      </c>
      <c r="G127" s="56">
        <f>IF(A127="","",COUNTIF('Turn Log'!$B$5:$B$5000,A127))</f>
        <v/>
      </c>
      <c r="H127" s="56">
        <f>IF(A127="","",IFERROR(MINIFS('Turn Log'!$C$5:$C$5000,'Turn Log'!$B$5:$B$5000,A127,'Turn Log'!$Q$5:$Q$5000,"Pass"),""))</f>
        <v/>
      </c>
      <c r="I127" s="56">
        <f>IF(A127="","",IFERROR(MAXIFS('Turn Log'!$C$5:$C$5000,'Turn Log'!$B$5:$B$5000,A127),""))</f>
        <v/>
      </c>
      <c r="J127" s="56">
        <f>IF(A127="","",IFERROR(INDEX('Turn Log'!$Q$5:$Q$5000,MATCH(1,('Turn Log'!$B$5:$B$5000=A127)*('Turn Log'!$C$5:$C$5000=I127),0)),""))</f>
        <v/>
      </c>
      <c r="K127" s="56">
        <f>IF(A127="","",IFERROR(INDEX('Turn Log'!$R$5:$R$5000,MATCH(1,('Turn Log'!$B$5:$B$5000=A127)*('Turn Log'!$C$5:$C$5000=I127),0)),""))</f>
        <v/>
      </c>
      <c r="L127" s="56">
        <f>IF(A127="","",COUNTIFS('Turn Log'!$B$5:$B$5000,A127,'Turn Log'!$X$5:$X$5000,1))</f>
        <v/>
      </c>
      <c r="M127" s="56">
        <f>IF(A127="","",COUNTIFS('Turn Log'!$B$5:$B$5000,A127,'Turn Log'!$Y$5:$Y$5000,1))</f>
        <v/>
      </c>
      <c r="N127" s="56">
        <f>IF(A127="","",COUNTIFS('Turn Log'!$B$5:$B$5000,A127,'Turn Log'!$W$5:$W$5000,1))</f>
        <v/>
      </c>
      <c r="O127" s="56">
        <f>IF(H127="","No","Yes")</f>
        <v/>
      </c>
      <c r="P127" s="56">
        <f>IF(A127="","",COUNTIFS('Stability Checks'!$A$5:$A$2000,A127,'Stability Checks'!$C$5:$C$2000,"Re-execution",'Stability Checks'!$E$5:$E$2000,"Pass"))</f>
        <v/>
      </c>
      <c r="Q127" s="56">
        <f>IF(A127="","",COUNTIFS('Stability Checks'!$A$5:$A$2000,A127,'Stability Checks'!$C$5:$C$2000,"Re-prompt",'Stability Checks'!$E$5:$E$2000,"Pass"))</f>
        <v/>
      </c>
      <c r="R127" s="47">
        <f>IF(A127="","",'Run Plan'!Q127)</f>
        <v/>
      </c>
      <c r="S127" s="50" t="n"/>
    </row>
    <row r="128" ht="15.75" customHeight="1" s="40">
      <c r="A128" s="55">
        <f>IF('Run Plan'!A128="","",'Run Plan'!A128)</f>
        <v/>
      </c>
      <c r="B128" s="55">
        <f>IF(A128="","",'Run Plan'!C128)</f>
        <v/>
      </c>
      <c r="C128" s="55">
        <f>IF(A128="","",'Run Plan'!E128)</f>
        <v/>
      </c>
      <c r="D128" s="54">
        <f>IF(A128="","",'Run Plan'!G128)</f>
        <v/>
      </c>
      <c r="E128" s="47">
        <f>IF(A128="","",'Run Plan'!K128)</f>
        <v/>
      </c>
      <c r="F128" s="47">
        <f>IF(A128="","",'Run Plan'!J128)</f>
        <v/>
      </c>
      <c r="G128" s="56">
        <f>IF(A128="","",COUNTIF('Turn Log'!$B$5:$B$5000,A128))</f>
        <v/>
      </c>
      <c r="H128" s="56">
        <f>IF(A128="","",IFERROR(MINIFS('Turn Log'!$C$5:$C$5000,'Turn Log'!$B$5:$B$5000,A128,'Turn Log'!$Q$5:$Q$5000,"Pass"),""))</f>
        <v/>
      </c>
      <c r="I128" s="56">
        <f>IF(A128="","",IFERROR(MAXIFS('Turn Log'!$C$5:$C$5000,'Turn Log'!$B$5:$B$5000,A128),""))</f>
        <v/>
      </c>
      <c r="J128" s="56">
        <f>IF(A128="","",IFERROR(INDEX('Turn Log'!$Q$5:$Q$5000,MATCH(1,('Turn Log'!$B$5:$B$5000=A128)*('Turn Log'!$C$5:$C$5000=I128),0)),""))</f>
        <v/>
      </c>
      <c r="K128" s="56">
        <f>IF(A128="","",IFERROR(INDEX('Turn Log'!$R$5:$R$5000,MATCH(1,('Turn Log'!$B$5:$B$5000=A128)*('Turn Log'!$C$5:$C$5000=I128),0)),""))</f>
        <v/>
      </c>
      <c r="L128" s="56">
        <f>IF(A128="","",COUNTIFS('Turn Log'!$B$5:$B$5000,A128,'Turn Log'!$X$5:$X$5000,1))</f>
        <v/>
      </c>
      <c r="M128" s="56">
        <f>IF(A128="","",COUNTIFS('Turn Log'!$B$5:$B$5000,A128,'Turn Log'!$Y$5:$Y$5000,1))</f>
        <v/>
      </c>
      <c r="N128" s="56">
        <f>IF(A128="","",COUNTIFS('Turn Log'!$B$5:$B$5000,A128,'Turn Log'!$W$5:$W$5000,1))</f>
        <v/>
      </c>
      <c r="O128" s="56">
        <f>IF(H128="","No","Yes")</f>
        <v/>
      </c>
      <c r="P128" s="56">
        <f>IF(A128="","",COUNTIFS('Stability Checks'!$A$5:$A$2000,A128,'Stability Checks'!$C$5:$C$2000,"Re-execution",'Stability Checks'!$E$5:$E$2000,"Pass"))</f>
        <v/>
      </c>
      <c r="Q128" s="56">
        <f>IF(A128="","",COUNTIFS('Stability Checks'!$A$5:$A$2000,A128,'Stability Checks'!$C$5:$C$2000,"Re-prompt",'Stability Checks'!$E$5:$E$2000,"Pass"))</f>
        <v/>
      </c>
      <c r="R128" s="47">
        <f>IF(A128="","",'Run Plan'!Q128)</f>
        <v/>
      </c>
      <c r="S128" s="50" t="n"/>
    </row>
    <row r="129" ht="15.75" customHeight="1" s="40">
      <c r="A129" s="55">
        <f>IF('Run Plan'!A129="","",'Run Plan'!A129)</f>
        <v/>
      </c>
      <c r="B129" s="55">
        <f>IF(A129="","",'Run Plan'!C129)</f>
        <v/>
      </c>
      <c r="C129" s="55">
        <f>IF(A129="","",'Run Plan'!E129)</f>
        <v/>
      </c>
      <c r="D129" s="54">
        <f>IF(A129="","",'Run Plan'!G129)</f>
        <v/>
      </c>
      <c r="E129" s="47">
        <f>IF(A129="","",'Run Plan'!K129)</f>
        <v/>
      </c>
      <c r="F129" s="47">
        <f>IF(A129="","",'Run Plan'!J129)</f>
        <v/>
      </c>
      <c r="G129" s="56">
        <f>IF(A129="","",COUNTIF('Turn Log'!$B$5:$B$5000,A129))</f>
        <v/>
      </c>
      <c r="H129" s="56">
        <f>IF(A129="","",IFERROR(MINIFS('Turn Log'!$C$5:$C$5000,'Turn Log'!$B$5:$B$5000,A129,'Turn Log'!$Q$5:$Q$5000,"Pass"),""))</f>
        <v/>
      </c>
      <c r="I129" s="56">
        <f>IF(A129="","",IFERROR(MAXIFS('Turn Log'!$C$5:$C$5000,'Turn Log'!$B$5:$B$5000,A129),""))</f>
        <v/>
      </c>
      <c r="J129" s="56">
        <f>IF(A129="","",IFERROR(INDEX('Turn Log'!$Q$5:$Q$5000,MATCH(1,('Turn Log'!$B$5:$B$5000=A129)*('Turn Log'!$C$5:$C$5000=I129),0)),""))</f>
        <v/>
      </c>
      <c r="K129" s="56">
        <f>IF(A129="","",IFERROR(INDEX('Turn Log'!$R$5:$R$5000,MATCH(1,('Turn Log'!$B$5:$B$5000=A129)*('Turn Log'!$C$5:$C$5000=I129),0)),""))</f>
        <v/>
      </c>
      <c r="L129" s="56">
        <f>IF(A129="","",COUNTIFS('Turn Log'!$B$5:$B$5000,A129,'Turn Log'!$X$5:$X$5000,1))</f>
        <v/>
      </c>
      <c r="M129" s="56">
        <f>IF(A129="","",COUNTIFS('Turn Log'!$B$5:$B$5000,A129,'Turn Log'!$Y$5:$Y$5000,1))</f>
        <v/>
      </c>
      <c r="N129" s="56">
        <f>IF(A129="","",COUNTIFS('Turn Log'!$B$5:$B$5000,A129,'Turn Log'!$W$5:$W$5000,1))</f>
        <v/>
      </c>
      <c r="O129" s="56">
        <f>IF(H129="","No","Yes")</f>
        <v/>
      </c>
      <c r="P129" s="56">
        <f>IF(A129="","",COUNTIFS('Stability Checks'!$A$5:$A$2000,A129,'Stability Checks'!$C$5:$C$2000,"Re-execution",'Stability Checks'!$E$5:$E$2000,"Pass"))</f>
        <v/>
      </c>
      <c r="Q129" s="56">
        <f>IF(A129="","",COUNTIFS('Stability Checks'!$A$5:$A$2000,A129,'Stability Checks'!$C$5:$C$2000,"Re-prompt",'Stability Checks'!$E$5:$E$2000,"Pass"))</f>
        <v/>
      </c>
      <c r="R129" s="47">
        <f>IF(A129="","",'Run Plan'!Q129)</f>
        <v/>
      </c>
      <c r="S129" s="50" t="n"/>
    </row>
    <row r="130" ht="15.75" customHeight="1" s="40">
      <c r="A130" s="55">
        <f>IF('Run Plan'!A130="","",'Run Plan'!A130)</f>
        <v/>
      </c>
      <c r="B130" s="55">
        <f>IF(A130="","",'Run Plan'!C130)</f>
        <v/>
      </c>
      <c r="C130" s="55">
        <f>IF(A130="","",'Run Plan'!E130)</f>
        <v/>
      </c>
      <c r="D130" s="54">
        <f>IF(A130="","",'Run Plan'!G130)</f>
        <v/>
      </c>
      <c r="E130" s="47">
        <f>IF(A130="","",'Run Plan'!K130)</f>
        <v/>
      </c>
      <c r="F130" s="47">
        <f>IF(A130="","",'Run Plan'!J130)</f>
        <v/>
      </c>
      <c r="G130" s="56">
        <f>IF(A130="","",COUNTIF('Turn Log'!$B$5:$B$5000,A130))</f>
        <v/>
      </c>
      <c r="H130" s="56">
        <f>IF(A130="","",IFERROR(MINIFS('Turn Log'!$C$5:$C$5000,'Turn Log'!$B$5:$B$5000,A130,'Turn Log'!$Q$5:$Q$5000,"Pass"),""))</f>
        <v/>
      </c>
      <c r="I130" s="56">
        <f>IF(A130="","",IFERROR(MAXIFS('Turn Log'!$C$5:$C$5000,'Turn Log'!$B$5:$B$5000,A130),""))</f>
        <v/>
      </c>
      <c r="J130" s="56">
        <f>IF(A130="","",IFERROR(INDEX('Turn Log'!$Q$5:$Q$5000,MATCH(1,('Turn Log'!$B$5:$B$5000=A130)*('Turn Log'!$C$5:$C$5000=I130),0)),""))</f>
        <v/>
      </c>
      <c r="K130" s="56">
        <f>IF(A130="","",IFERROR(INDEX('Turn Log'!$R$5:$R$5000,MATCH(1,('Turn Log'!$B$5:$B$5000=A130)*('Turn Log'!$C$5:$C$5000=I130),0)),""))</f>
        <v/>
      </c>
      <c r="L130" s="56">
        <f>IF(A130="","",COUNTIFS('Turn Log'!$B$5:$B$5000,A130,'Turn Log'!$X$5:$X$5000,1))</f>
        <v/>
      </c>
      <c r="M130" s="56">
        <f>IF(A130="","",COUNTIFS('Turn Log'!$B$5:$B$5000,A130,'Turn Log'!$Y$5:$Y$5000,1))</f>
        <v/>
      </c>
      <c r="N130" s="56">
        <f>IF(A130="","",COUNTIFS('Turn Log'!$B$5:$B$5000,A130,'Turn Log'!$W$5:$W$5000,1))</f>
        <v/>
      </c>
      <c r="O130" s="56">
        <f>IF(H130="","No","Yes")</f>
        <v/>
      </c>
      <c r="P130" s="56">
        <f>IF(A130="","",COUNTIFS('Stability Checks'!$A$5:$A$2000,A130,'Stability Checks'!$C$5:$C$2000,"Re-execution",'Stability Checks'!$E$5:$E$2000,"Pass"))</f>
        <v/>
      </c>
      <c r="Q130" s="56">
        <f>IF(A130="","",COUNTIFS('Stability Checks'!$A$5:$A$2000,A130,'Stability Checks'!$C$5:$C$2000,"Re-prompt",'Stability Checks'!$E$5:$E$2000,"Pass"))</f>
        <v/>
      </c>
      <c r="R130" s="47">
        <f>IF(A130="","",'Run Plan'!Q130)</f>
        <v/>
      </c>
      <c r="S130" s="50" t="n"/>
    </row>
    <row r="131" ht="15.75" customHeight="1" s="40">
      <c r="A131" s="55">
        <f>IF('Run Plan'!A131="","",'Run Plan'!A131)</f>
        <v/>
      </c>
      <c r="B131" s="55">
        <f>IF(A131="","",'Run Plan'!C131)</f>
        <v/>
      </c>
      <c r="C131" s="55">
        <f>IF(A131="","",'Run Plan'!E131)</f>
        <v/>
      </c>
      <c r="D131" s="54">
        <f>IF(A131="","",'Run Plan'!G131)</f>
        <v/>
      </c>
      <c r="E131" s="47">
        <f>IF(A131="","",'Run Plan'!K131)</f>
        <v/>
      </c>
      <c r="F131" s="47">
        <f>IF(A131="","",'Run Plan'!J131)</f>
        <v/>
      </c>
      <c r="G131" s="56">
        <f>IF(A131="","",COUNTIF('Turn Log'!$B$5:$B$5000,A131))</f>
        <v/>
      </c>
      <c r="H131" s="56">
        <f>IF(A131="","",IFERROR(MINIFS('Turn Log'!$C$5:$C$5000,'Turn Log'!$B$5:$B$5000,A131,'Turn Log'!$Q$5:$Q$5000,"Pass"),""))</f>
        <v/>
      </c>
      <c r="I131" s="56">
        <f>IF(A131="","",IFERROR(MAXIFS('Turn Log'!$C$5:$C$5000,'Turn Log'!$B$5:$B$5000,A131),""))</f>
        <v/>
      </c>
      <c r="J131" s="56">
        <f>IF(A131="","",IFERROR(INDEX('Turn Log'!$Q$5:$Q$5000,MATCH(1,('Turn Log'!$B$5:$B$5000=A131)*('Turn Log'!$C$5:$C$5000=I131),0)),""))</f>
        <v/>
      </c>
      <c r="K131" s="56">
        <f>IF(A131="","",IFERROR(INDEX('Turn Log'!$R$5:$R$5000,MATCH(1,('Turn Log'!$B$5:$B$5000=A131)*('Turn Log'!$C$5:$C$5000=I131),0)),""))</f>
        <v/>
      </c>
      <c r="L131" s="56">
        <f>IF(A131="","",COUNTIFS('Turn Log'!$B$5:$B$5000,A131,'Turn Log'!$X$5:$X$5000,1))</f>
        <v/>
      </c>
      <c r="M131" s="56">
        <f>IF(A131="","",COUNTIFS('Turn Log'!$B$5:$B$5000,A131,'Turn Log'!$Y$5:$Y$5000,1))</f>
        <v/>
      </c>
      <c r="N131" s="56">
        <f>IF(A131="","",COUNTIFS('Turn Log'!$B$5:$B$5000,A131,'Turn Log'!$W$5:$W$5000,1))</f>
        <v/>
      </c>
      <c r="O131" s="56">
        <f>IF(H131="","No","Yes")</f>
        <v/>
      </c>
      <c r="P131" s="56">
        <f>IF(A131="","",COUNTIFS('Stability Checks'!$A$5:$A$2000,A131,'Stability Checks'!$C$5:$C$2000,"Re-execution",'Stability Checks'!$E$5:$E$2000,"Pass"))</f>
        <v/>
      </c>
      <c r="Q131" s="56">
        <f>IF(A131="","",COUNTIFS('Stability Checks'!$A$5:$A$2000,A131,'Stability Checks'!$C$5:$C$2000,"Re-prompt",'Stability Checks'!$E$5:$E$2000,"Pass"))</f>
        <v/>
      </c>
      <c r="R131" s="47">
        <f>IF(A131="","",'Run Plan'!Q131)</f>
        <v/>
      </c>
      <c r="S131" s="50" t="n"/>
    </row>
    <row r="132" ht="15.75" customHeight="1" s="40">
      <c r="A132" s="55">
        <f>IF('Run Plan'!A132="","",'Run Plan'!A132)</f>
        <v/>
      </c>
      <c r="B132" s="55">
        <f>IF(A132="","",'Run Plan'!C132)</f>
        <v/>
      </c>
      <c r="C132" s="55">
        <f>IF(A132="","",'Run Plan'!E132)</f>
        <v/>
      </c>
      <c r="D132" s="54">
        <f>IF(A132="","",'Run Plan'!G132)</f>
        <v/>
      </c>
      <c r="E132" s="47">
        <f>IF(A132="","",'Run Plan'!K132)</f>
        <v/>
      </c>
      <c r="F132" s="47">
        <f>IF(A132="","",'Run Plan'!J132)</f>
        <v/>
      </c>
      <c r="G132" s="56">
        <f>IF(A132="","",COUNTIF('Turn Log'!$B$5:$B$5000,A132))</f>
        <v/>
      </c>
      <c r="H132" s="56">
        <f>IF(A132="","",IFERROR(MINIFS('Turn Log'!$C$5:$C$5000,'Turn Log'!$B$5:$B$5000,A132,'Turn Log'!$Q$5:$Q$5000,"Pass"),""))</f>
        <v/>
      </c>
      <c r="I132" s="56">
        <f>IF(A132="","",IFERROR(MAXIFS('Turn Log'!$C$5:$C$5000,'Turn Log'!$B$5:$B$5000,A132),""))</f>
        <v/>
      </c>
      <c r="J132" s="56">
        <f>IF(A132="","",IFERROR(INDEX('Turn Log'!$Q$5:$Q$5000,MATCH(1,('Turn Log'!$B$5:$B$5000=A132)*('Turn Log'!$C$5:$C$5000=I132),0)),""))</f>
        <v/>
      </c>
      <c r="K132" s="56">
        <f>IF(A132="","",IFERROR(INDEX('Turn Log'!$R$5:$R$5000,MATCH(1,('Turn Log'!$B$5:$B$5000=A132)*('Turn Log'!$C$5:$C$5000=I132),0)),""))</f>
        <v/>
      </c>
      <c r="L132" s="56">
        <f>IF(A132="","",COUNTIFS('Turn Log'!$B$5:$B$5000,A132,'Turn Log'!$X$5:$X$5000,1))</f>
        <v/>
      </c>
      <c r="M132" s="56">
        <f>IF(A132="","",COUNTIFS('Turn Log'!$B$5:$B$5000,A132,'Turn Log'!$Y$5:$Y$5000,1))</f>
        <v/>
      </c>
      <c r="N132" s="56">
        <f>IF(A132="","",COUNTIFS('Turn Log'!$B$5:$B$5000,A132,'Turn Log'!$W$5:$W$5000,1))</f>
        <v/>
      </c>
      <c r="O132" s="56">
        <f>IF(H132="","No","Yes")</f>
        <v/>
      </c>
      <c r="P132" s="56">
        <f>IF(A132="","",COUNTIFS('Stability Checks'!$A$5:$A$2000,A132,'Stability Checks'!$C$5:$C$2000,"Re-execution",'Stability Checks'!$E$5:$E$2000,"Pass"))</f>
        <v/>
      </c>
      <c r="Q132" s="56">
        <f>IF(A132="","",COUNTIFS('Stability Checks'!$A$5:$A$2000,A132,'Stability Checks'!$C$5:$C$2000,"Re-prompt",'Stability Checks'!$E$5:$E$2000,"Pass"))</f>
        <v/>
      </c>
      <c r="R132" s="47">
        <f>IF(A132="","",'Run Plan'!Q132)</f>
        <v/>
      </c>
      <c r="S132" s="50" t="n"/>
    </row>
    <row r="133" ht="15.75" customHeight="1" s="40">
      <c r="A133" s="55">
        <f>IF('Run Plan'!A133="","",'Run Plan'!A133)</f>
        <v/>
      </c>
      <c r="B133" s="55">
        <f>IF(A133="","",'Run Plan'!C133)</f>
        <v/>
      </c>
      <c r="C133" s="55">
        <f>IF(A133="","",'Run Plan'!E133)</f>
        <v/>
      </c>
      <c r="D133" s="54">
        <f>IF(A133="","",'Run Plan'!G133)</f>
        <v/>
      </c>
      <c r="E133" s="47">
        <f>IF(A133="","",'Run Plan'!K133)</f>
        <v/>
      </c>
      <c r="F133" s="47">
        <f>IF(A133="","",'Run Plan'!J133)</f>
        <v/>
      </c>
      <c r="G133" s="56">
        <f>IF(A133="","",COUNTIF('Turn Log'!$B$5:$B$5000,A133))</f>
        <v/>
      </c>
      <c r="H133" s="56">
        <f>IF(A133="","",IFERROR(MINIFS('Turn Log'!$C$5:$C$5000,'Turn Log'!$B$5:$B$5000,A133,'Turn Log'!$Q$5:$Q$5000,"Pass"),""))</f>
        <v/>
      </c>
      <c r="I133" s="56">
        <f>IF(A133="","",IFERROR(MAXIFS('Turn Log'!$C$5:$C$5000,'Turn Log'!$B$5:$B$5000,A133),""))</f>
        <v/>
      </c>
      <c r="J133" s="56">
        <f>IF(A133="","",IFERROR(INDEX('Turn Log'!$Q$5:$Q$5000,MATCH(1,('Turn Log'!$B$5:$B$5000=A133)*('Turn Log'!$C$5:$C$5000=I133),0)),""))</f>
        <v/>
      </c>
      <c r="K133" s="56">
        <f>IF(A133="","",IFERROR(INDEX('Turn Log'!$R$5:$R$5000,MATCH(1,('Turn Log'!$B$5:$B$5000=A133)*('Turn Log'!$C$5:$C$5000=I133),0)),""))</f>
        <v/>
      </c>
      <c r="L133" s="56">
        <f>IF(A133="","",COUNTIFS('Turn Log'!$B$5:$B$5000,A133,'Turn Log'!$X$5:$X$5000,1))</f>
        <v/>
      </c>
      <c r="M133" s="56">
        <f>IF(A133="","",COUNTIFS('Turn Log'!$B$5:$B$5000,A133,'Turn Log'!$Y$5:$Y$5000,1))</f>
        <v/>
      </c>
      <c r="N133" s="56">
        <f>IF(A133="","",COUNTIFS('Turn Log'!$B$5:$B$5000,A133,'Turn Log'!$W$5:$W$5000,1))</f>
        <v/>
      </c>
      <c r="O133" s="56">
        <f>IF(H133="","No","Yes")</f>
        <v/>
      </c>
      <c r="P133" s="56">
        <f>IF(A133="","",COUNTIFS('Stability Checks'!$A$5:$A$2000,A133,'Stability Checks'!$C$5:$C$2000,"Re-execution",'Stability Checks'!$E$5:$E$2000,"Pass"))</f>
        <v/>
      </c>
      <c r="Q133" s="56">
        <f>IF(A133="","",COUNTIFS('Stability Checks'!$A$5:$A$2000,A133,'Stability Checks'!$C$5:$C$2000,"Re-prompt",'Stability Checks'!$E$5:$E$2000,"Pass"))</f>
        <v/>
      </c>
      <c r="R133" s="47">
        <f>IF(A133="","",'Run Plan'!Q133)</f>
        <v/>
      </c>
      <c r="S133" s="50" t="n"/>
    </row>
    <row r="134" ht="15.75" customHeight="1" s="40">
      <c r="A134" s="55">
        <f>IF('Run Plan'!A134="","",'Run Plan'!A134)</f>
        <v/>
      </c>
      <c r="B134" s="55">
        <f>IF(A134="","",'Run Plan'!C134)</f>
        <v/>
      </c>
      <c r="C134" s="55">
        <f>IF(A134="","",'Run Plan'!E134)</f>
        <v/>
      </c>
      <c r="D134" s="54">
        <f>IF(A134="","",'Run Plan'!G134)</f>
        <v/>
      </c>
      <c r="E134" s="47">
        <f>IF(A134="","",'Run Plan'!K134)</f>
        <v/>
      </c>
      <c r="F134" s="47">
        <f>IF(A134="","",'Run Plan'!J134)</f>
        <v/>
      </c>
      <c r="G134" s="56">
        <f>IF(A134="","",COUNTIF('Turn Log'!$B$5:$B$5000,A134))</f>
        <v/>
      </c>
      <c r="H134" s="56">
        <f>IF(A134="","",IFERROR(MINIFS('Turn Log'!$C$5:$C$5000,'Turn Log'!$B$5:$B$5000,A134,'Turn Log'!$Q$5:$Q$5000,"Pass"),""))</f>
        <v/>
      </c>
      <c r="I134" s="56">
        <f>IF(A134="","",IFERROR(MAXIFS('Turn Log'!$C$5:$C$5000,'Turn Log'!$B$5:$B$5000,A134),""))</f>
        <v/>
      </c>
      <c r="J134" s="56">
        <f>IF(A134="","",IFERROR(INDEX('Turn Log'!$Q$5:$Q$5000,MATCH(1,('Turn Log'!$B$5:$B$5000=A134)*('Turn Log'!$C$5:$C$5000=I134),0)),""))</f>
        <v/>
      </c>
      <c r="K134" s="56">
        <f>IF(A134="","",IFERROR(INDEX('Turn Log'!$R$5:$R$5000,MATCH(1,('Turn Log'!$B$5:$B$5000=A134)*('Turn Log'!$C$5:$C$5000=I134),0)),""))</f>
        <v/>
      </c>
      <c r="L134" s="56">
        <f>IF(A134="","",COUNTIFS('Turn Log'!$B$5:$B$5000,A134,'Turn Log'!$X$5:$X$5000,1))</f>
        <v/>
      </c>
      <c r="M134" s="56">
        <f>IF(A134="","",COUNTIFS('Turn Log'!$B$5:$B$5000,A134,'Turn Log'!$Y$5:$Y$5000,1))</f>
        <v/>
      </c>
      <c r="N134" s="56">
        <f>IF(A134="","",COUNTIFS('Turn Log'!$B$5:$B$5000,A134,'Turn Log'!$W$5:$W$5000,1))</f>
        <v/>
      </c>
      <c r="O134" s="56">
        <f>IF(H134="","No","Yes")</f>
        <v/>
      </c>
      <c r="P134" s="56">
        <f>IF(A134="","",COUNTIFS('Stability Checks'!$A$5:$A$2000,A134,'Stability Checks'!$C$5:$C$2000,"Re-execution",'Stability Checks'!$E$5:$E$2000,"Pass"))</f>
        <v/>
      </c>
      <c r="Q134" s="56">
        <f>IF(A134="","",COUNTIFS('Stability Checks'!$A$5:$A$2000,A134,'Stability Checks'!$C$5:$C$2000,"Re-prompt",'Stability Checks'!$E$5:$E$2000,"Pass"))</f>
        <v/>
      </c>
      <c r="R134" s="47">
        <f>IF(A134="","",'Run Plan'!Q134)</f>
        <v/>
      </c>
      <c r="S134" s="50" t="n"/>
    </row>
    <row r="135" ht="15.75" customHeight="1" s="40">
      <c r="A135" s="55">
        <f>IF('Run Plan'!A135="","",'Run Plan'!A135)</f>
        <v/>
      </c>
      <c r="B135" s="55">
        <f>IF(A135="","",'Run Plan'!C135)</f>
        <v/>
      </c>
      <c r="C135" s="55">
        <f>IF(A135="","",'Run Plan'!E135)</f>
        <v/>
      </c>
      <c r="D135" s="54">
        <f>IF(A135="","",'Run Plan'!G135)</f>
        <v/>
      </c>
      <c r="E135" s="47">
        <f>IF(A135="","",'Run Plan'!K135)</f>
        <v/>
      </c>
      <c r="F135" s="47">
        <f>IF(A135="","",'Run Plan'!J135)</f>
        <v/>
      </c>
      <c r="G135" s="56">
        <f>IF(A135="","",COUNTIF('Turn Log'!$B$5:$B$5000,A135))</f>
        <v/>
      </c>
      <c r="H135" s="56">
        <f>IF(A135="","",IFERROR(MINIFS('Turn Log'!$C$5:$C$5000,'Turn Log'!$B$5:$B$5000,A135,'Turn Log'!$Q$5:$Q$5000,"Pass"),""))</f>
        <v/>
      </c>
      <c r="I135" s="56">
        <f>IF(A135="","",IFERROR(MAXIFS('Turn Log'!$C$5:$C$5000,'Turn Log'!$B$5:$B$5000,A135),""))</f>
        <v/>
      </c>
      <c r="J135" s="56">
        <f>IF(A135="","",IFERROR(INDEX('Turn Log'!$Q$5:$Q$5000,MATCH(1,('Turn Log'!$B$5:$B$5000=A135)*('Turn Log'!$C$5:$C$5000=I135),0)),""))</f>
        <v/>
      </c>
      <c r="K135" s="56">
        <f>IF(A135="","",IFERROR(INDEX('Turn Log'!$R$5:$R$5000,MATCH(1,('Turn Log'!$B$5:$B$5000=A135)*('Turn Log'!$C$5:$C$5000=I135),0)),""))</f>
        <v/>
      </c>
      <c r="L135" s="56">
        <f>IF(A135="","",COUNTIFS('Turn Log'!$B$5:$B$5000,A135,'Turn Log'!$X$5:$X$5000,1))</f>
        <v/>
      </c>
      <c r="M135" s="56">
        <f>IF(A135="","",COUNTIFS('Turn Log'!$B$5:$B$5000,A135,'Turn Log'!$Y$5:$Y$5000,1))</f>
        <v/>
      </c>
      <c r="N135" s="56">
        <f>IF(A135="","",COUNTIFS('Turn Log'!$B$5:$B$5000,A135,'Turn Log'!$W$5:$W$5000,1))</f>
        <v/>
      </c>
      <c r="O135" s="56">
        <f>IF(H135="","No","Yes")</f>
        <v/>
      </c>
      <c r="P135" s="56">
        <f>IF(A135="","",COUNTIFS('Stability Checks'!$A$5:$A$2000,A135,'Stability Checks'!$C$5:$C$2000,"Re-execution",'Stability Checks'!$E$5:$E$2000,"Pass"))</f>
        <v/>
      </c>
      <c r="Q135" s="56">
        <f>IF(A135="","",COUNTIFS('Stability Checks'!$A$5:$A$2000,A135,'Stability Checks'!$C$5:$C$2000,"Re-prompt",'Stability Checks'!$E$5:$E$2000,"Pass"))</f>
        <v/>
      </c>
      <c r="R135" s="47">
        <f>IF(A135="","",'Run Plan'!Q135)</f>
        <v/>
      </c>
      <c r="S135" s="50" t="n"/>
    </row>
    <row r="136" ht="15.75" customHeight="1" s="40">
      <c r="A136" s="55">
        <f>IF('Run Plan'!A136="","",'Run Plan'!A136)</f>
        <v/>
      </c>
      <c r="B136" s="55">
        <f>IF(A136="","",'Run Plan'!C136)</f>
        <v/>
      </c>
      <c r="C136" s="55">
        <f>IF(A136="","",'Run Plan'!E136)</f>
        <v/>
      </c>
      <c r="D136" s="54">
        <f>IF(A136="","",'Run Plan'!G136)</f>
        <v/>
      </c>
      <c r="E136" s="47">
        <f>IF(A136="","",'Run Plan'!K136)</f>
        <v/>
      </c>
      <c r="F136" s="47">
        <f>IF(A136="","",'Run Plan'!J136)</f>
        <v/>
      </c>
      <c r="G136" s="56">
        <f>IF(A136="","",COUNTIF('Turn Log'!$B$5:$B$5000,A136))</f>
        <v/>
      </c>
      <c r="H136" s="56">
        <f>IF(A136="","",IFERROR(MINIFS('Turn Log'!$C$5:$C$5000,'Turn Log'!$B$5:$B$5000,A136,'Turn Log'!$Q$5:$Q$5000,"Pass"),""))</f>
        <v/>
      </c>
      <c r="I136" s="56">
        <f>IF(A136="","",IFERROR(MAXIFS('Turn Log'!$C$5:$C$5000,'Turn Log'!$B$5:$B$5000,A136),""))</f>
        <v/>
      </c>
      <c r="J136" s="56">
        <f>IF(A136="","",IFERROR(INDEX('Turn Log'!$Q$5:$Q$5000,MATCH(1,('Turn Log'!$B$5:$B$5000=A136)*('Turn Log'!$C$5:$C$5000=I136),0)),""))</f>
        <v/>
      </c>
      <c r="K136" s="56">
        <f>IF(A136="","",IFERROR(INDEX('Turn Log'!$R$5:$R$5000,MATCH(1,('Turn Log'!$B$5:$B$5000=A136)*('Turn Log'!$C$5:$C$5000=I136),0)),""))</f>
        <v/>
      </c>
      <c r="L136" s="56">
        <f>IF(A136="","",COUNTIFS('Turn Log'!$B$5:$B$5000,A136,'Turn Log'!$X$5:$X$5000,1))</f>
        <v/>
      </c>
      <c r="M136" s="56">
        <f>IF(A136="","",COUNTIFS('Turn Log'!$B$5:$B$5000,A136,'Turn Log'!$Y$5:$Y$5000,1))</f>
        <v/>
      </c>
      <c r="N136" s="56">
        <f>IF(A136="","",COUNTIFS('Turn Log'!$B$5:$B$5000,A136,'Turn Log'!$W$5:$W$5000,1))</f>
        <v/>
      </c>
      <c r="O136" s="56">
        <f>IF(H136="","No","Yes")</f>
        <v/>
      </c>
      <c r="P136" s="56">
        <f>IF(A136="","",COUNTIFS('Stability Checks'!$A$5:$A$2000,A136,'Stability Checks'!$C$5:$C$2000,"Re-execution",'Stability Checks'!$E$5:$E$2000,"Pass"))</f>
        <v/>
      </c>
      <c r="Q136" s="56">
        <f>IF(A136="","",COUNTIFS('Stability Checks'!$A$5:$A$2000,A136,'Stability Checks'!$C$5:$C$2000,"Re-prompt",'Stability Checks'!$E$5:$E$2000,"Pass"))</f>
        <v/>
      </c>
      <c r="R136" s="47">
        <f>IF(A136="","",'Run Plan'!Q136)</f>
        <v/>
      </c>
      <c r="S136" s="50" t="n"/>
    </row>
    <row r="137" ht="15.75" customHeight="1" s="40">
      <c r="A137" s="55">
        <f>IF('Run Plan'!A137="","",'Run Plan'!A137)</f>
        <v/>
      </c>
      <c r="B137" s="55">
        <f>IF(A137="","",'Run Plan'!C137)</f>
        <v/>
      </c>
      <c r="C137" s="55">
        <f>IF(A137="","",'Run Plan'!E137)</f>
        <v/>
      </c>
      <c r="D137" s="54">
        <f>IF(A137="","",'Run Plan'!G137)</f>
        <v/>
      </c>
      <c r="E137" s="47">
        <f>IF(A137="","",'Run Plan'!K137)</f>
        <v/>
      </c>
      <c r="F137" s="47">
        <f>IF(A137="","",'Run Plan'!J137)</f>
        <v/>
      </c>
      <c r="G137" s="56">
        <f>IF(A137="","",COUNTIF('Turn Log'!$B$5:$B$5000,A137))</f>
        <v/>
      </c>
      <c r="H137" s="56">
        <f>IF(A137="","",IFERROR(MINIFS('Turn Log'!$C$5:$C$5000,'Turn Log'!$B$5:$B$5000,A137,'Turn Log'!$Q$5:$Q$5000,"Pass"),""))</f>
        <v/>
      </c>
      <c r="I137" s="56">
        <f>IF(A137="","",IFERROR(MAXIFS('Turn Log'!$C$5:$C$5000,'Turn Log'!$B$5:$B$5000,A137),""))</f>
        <v/>
      </c>
      <c r="J137" s="56">
        <f>IF(A137="","",IFERROR(INDEX('Turn Log'!$Q$5:$Q$5000,MATCH(1,('Turn Log'!$B$5:$B$5000=A137)*('Turn Log'!$C$5:$C$5000=I137),0)),""))</f>
        <v/>
      </c>
      <c r="K137" s="56">
        <f>IF(A137="","",IFERROR(INDEX('Turn Log'!$R$5:$R$5000,MATCH(1,('Turn Log'!$B$5:$B$5000=A137)*('Turn Log'!$C$5:$C$5000=I137),0)),""))</f>
        <v/>
      </c>
      <c r="L137" s="56">
        <f>IF(A137="","",COUNTIFS('Turn Log'!$B$5:$B$5000,A137,'Turn Log'!$X$5:$X$5000,1))</f>
        <v/>
      </c>
      <c r="M137" s="56">
        <f>IF(A137="","",COUNTIFS('Turn Log'!$B$5:$B$5000,A137,'Turn Log'!$Y$5:$Y$5000,1))</f>
        <v/>
      </c>
      <c r="N137" s="56">
        <f>IF(A137="","",COUNTIFS('Turn Log'!$B$5:$B$5000,A137,'Turn Log'!$W$5:$W$5000,1))</f>
        <v/>
      </c>
      <c r="O137" s="56">
        <f>IF(H137="","No","Yes")</f>
        <v/>
      </c>
      <c r="P137" s="56">
        <f>IF(A137="","",COUNTIFS('Stability Checks'!$A$5:$A$2000,A137,'Stability Checks'!$C$5:$C$2000,"Re-execution",'Stability Checks'!$E$5:$E$2000,"Pass"))</f>
        <v/>
      </c>
      <c r="Q137" s="56">
        <f>IF(A137="","",COUNTIFS('Stability Checks'!$A$5:$A$2000,A137,'Stability Checks'!$C$5:$C$2000,"Re-prompt",'Stability Checks'!$E$5:$E$2000,"Pass"))</f>
        <v/>
      </c>
      <c r="R137" s="47">
        <f>IF(A137="","",'Run Plan'!Q137)</f>
        <v/>
      </c>
      <c r="S137" s="50" t="n"/>
    </row>
    <row r="138" ht="15.75" customHeight="1" s="40">
      <c r="A138" s="55">
        <f>IF('Run Plan'!A138="","",'Run Plan'!A138)</f>
        <v/>
      </c>
      <c r="B138" s="55">
        <f>IF(A138="","",'Run Plan'!C138)</f>
        <v/>
      </c>
      <c r="C138" s="55">
        <f>IF(A138="","",'Run Plan'!E138)</f>
        <v/>
      </c>
      <c r="D138" s="54">
        <f>IF(A138="","",'Run Plan'!G138)</f>
        <v/>
      </c>
      <c r="E138" s="47">
        <f>IF(A138="","",'Run Plan'!K138)</f>
        <v/>
      </c>
      <c r="F138" s="47">
        <f>IF(A138="","",'Run Plan'!J138)</f>
        <v/>
      </c>
      <c r="G138" s="56">
        <f>IF(A138="","",COUNTIF('Turn Log'!$B$5:$B$5000,A138))</f>
        <v/>
      </c>
      <c r="H138" s="56">
        <f>IF(A138="","",IFERROR(MINIFS('Turn Log'!$C$5:$C$5000,'Turn Log'!$B$5:$B$5000,A138,'Turn Log'!$Q$5:$Q$5000,"Pass"),""))</f>
        <v/>
      </c>
      <c r="I138" s="56">
        <f>IF(A138="","",IFERROR(MAXIFS('Turn Log'!$C$5:$C$5000,'Turn Log'!$B$5:$B$5000,A138),""))</f>
        <v/>
      </c>
      <c r="J138" s="56">
        <f>IF(A138="","",IFERROR(INDEX('Turn Log'!$Q$5:$Q$5000,MATCH(1,('Turn Log'!$B$5:$B$5000=A138)*('Turn Log'!$C$5:$C$5000=I138),0)),""))</f>
        <v/>
      </c>
      <c r="K138" s="56">
        <f>IF(A138="","",IFERROR(INDEX('Turn Log'!$R$5:$R$5000,MATCH(1,('Turn Log'!$B$5:$B$5000=A138)*('Turn Log'!$C$5:$C$5000=I138),0)),""))</f>
        <v/>
      </c>
      <c r="L138" s="56">
        <f>IF(A138="","",COUNTIFS('Turn Log'!$B$5:$B$5000,A138,'Turn Log'!$X$5:$X$5000,1))</f>
        <v/>
      </c>
      <c r="M138" s="56">
        <f>IF(A138="","",COUNTIFS('Turn Log'!$B$5:$B$5000,A138,'Turn Log'!$Y$5:$Y$5000,1))</f>
        <v/>
      </c>
      <c r="N138" s="56">
        <f>IF(A138="","",COUNTIFS('Turn Log'!$B$5:$B$5000,A138,'Turn Log'!$W$5:$W$5000,1))</f>
        <v/>
      </c>
      <c r="O138" s="56">
        <f>IF(H138="","No","Yes")</f>
        <v/>
      </c>
      <c r="P138" s="56">
        <f>IF(A138="","",COUNTIFS('Stability Checks'!$A$5:$A$2000,A138,'Stability Checks'!$C$5:$C$2000,"Re-execution",'Stability Checks'!$E$5:$E$2000,"Pass"))</f>
        <v/>
      </c>
      <c r="Q138" s="56">
        <f>IF(A138="","",COUNTIFS('Stability Checks'!$A$5:$A$2000,A138,'Stability Checks'!$C$5:$C$2000,"Re-prompt",'Stability Checks'!$E$5:$E$2000,"Pass"))</f>
        <v/>
      </c>
      <c r="R138" s="47">
        <f>IF(A138="","",'Run Plan'!Q138)</f>
        <v/>
      </c>
      <c r="S138" s="50" t="n"/>
    </row>
    <row r="139" ht="15.75" customHeight="1" s="40">
      <c r="A139" s="55">
        <f>IF('Run Plan'!A139="","",'Run Plan'!A139)</f>
        <v/>
      </c>
      <c r="B139" s="55">
        <f>IF(A139="","",'Run Plan'!C139)</f>
        <v/>
      </c>
      <c r="C139" s="55">
        <f>IF(A139="","",'Run Plan'!E139)</f>
        <v/>
      </c>
      <c r="D139" s="54">
        <f>IF(A139="","",'Run Plan'!G139)</f>
        <v/>
      </c>
      <c r="E139" s="47">
        <f>IF(A139="","",'Run Plan'!K139)</f>
        <v/>
      </c>
      <c r="F139" s="47">
        <f>IF(A139="","",'Run Plan'!J139)</f>
        <v/>
      </c>
      <c r="G139" s="56">
        <f>IF(A139="","",COUNTIF('Turn Log'!$B$5:$B$5000,A139))</f>
        <v/>
      </c>
      <c r="H139" s="56">
        <f>IF(A139="","",IFERROR(MINIFS('Turn Log'!$C$5:$C$5000,'Turn Log'!$B$5:$B$5000,A139,'Turn Log'!$Q$5:$Q$5000,"Pass"),""))</f>
        <v/>
      </c>
      <c r="I139" s="56">
        <f>IF(A139="","",IFERROR(MAXIFS('Turn Log'!$C$5:$C$5000,'Turn Log'!$B$5:$B$5000,A139),""))</f>
        <v/>
      </c>
      <c r="J139" s="56">
        <f>IF(A139="","",IFERROR(INDEX('Turn Log'!$Q$5:$Q$5000,MATCH(1,('Turn Log'!$B$5:$B$5000=A139)*('Turn Log'!$C$5:$C$5000=I139),0)),""))</f>
        <v/>
      </c>
      <c r="K139" s="56">
        <f>IF(A139="","",IFERROR(INDEX('Turn Log'!$R$5:$R$5000,MATCH(1,('Turn Log'!$B$5:$B$5000=A139)*('Turn Log'!$C$5:$C$5000=I139),0)),""))</f>
        <v/>
      </c>
      <c r="L139" s="56">
        <f>IF(A139="","",COUNTIFS('Turn Log'!$B$5:$B$5000,A139,'Turn Log'!$X$5:$X$5000,1))</f>
        <v/>
      </c>
      <c r="M139" s="56">
        <f>IF(A139="","",COUNTIFS('Turn Log'!$B$5:$B$5000,A139,'Turn Log'!$Y$5:$Y$5000,1))</f>
        <v/>
      </c>
      <c r="N139" s="56">
        <f>IF(A139="","",COUNTIFS('Turn Log'!$B$5:$B$5000,A139,'Turn Log'!$W$5:$W$5000,1))</f>
        <v/>
      </c>
      <c r="O139" s="56">
        <f>IF(H139="","No","Yes")</f>
        <v/>
      </c>
      <c r="P139" s="56">
        <f>IF(A139="","",COUNTIFS('Stability Checks'!$A$5:$A$2000,A139,'Stability Checks'!$C$5:$C$2000,"Re-execution",'Stability Checks'!$E$5:$E$2000,"Pass"))</f>
        <v/>
      </c>
      <c r="Q139" s="56">
        <f>IF(A139="","",COUNTIFS('Stability Checks'!$A$5:$A$2000,A139,'Stability Checks'!$C$5:$C$2000,"Re-prompt",'Stability Checks'!$E$5:$E$2000,"Pass"))</f>
        <v/>
      </c>
      <c r="R139" s="47">
        <f>IF(A139="","",'Run Plan'!Q139)</f>
        <v/>
      </c>
      <c r="S139" s="50" t="n"/>
    </row>
    <row r="140" ht="15.75" customHeight="1" s="40">
      <c r="A140" s="55">
        <f>IF('Run Plan'!A140="","",'Run Plan'!A140)</f>
        <v/>
      </c>
      <c r="B140" s="55">
        <f>IF(A140="","",'Run Plan'!C140)</f>
        <v/>
      </c>
      <c r="C140" s="55">
        <f>IF(A140="","",'Run Plan'!E140)</f>
        <v/>
      </c>
      <c r="D140" s="54">
        <f>IF(A140="","",'Run Plan'!G140)</f>
        <v/>
      </c>
      <c r="E140" s="47">
        <f>IF(A140="","",'Run Plan'!K140)</f>
        <v/>
      </c>
      <c r="F140" s="47">
        <f>IF(A140="","",'Run Plan'!J140)</f>
        <v/>
      </c>
      <c r="G140" s="56">
        <f>IF(A140="","",COUNTIF('Turn Log'!$B$5:$B$5000,A140))</f>
        <v/>
      </c>
      <c r="H140" s="56">
        <f>IF(A140="","",IFERROR(MINIFS('Turn Log'!$C$5:$C$5000,'Turn Log'!$B$5:$B$5000,A140,'Turn Log'!$Q$5:$Q$5000,"Pass"),""))</f>
        <v/>
      </c>
      <c r="I140" s="56">
        <f>IF(A140="","",IFERROR(MAXIFS('Turn Log'!$C$5:$C$5000,'Turn Log'!$B$5:$B$5000,A140),""))</f>
        <v/>
      </c>
      <c r="J140" s="56">
        <f>IF(A140="","",IFERROR(INDEX('Turn Log'!$Q$5:$Q$5000,MATCH(1,('Turn Log'!$B$5:$B$5000=A140)*('Turn Log'!$C$5:$C$5000=I140),0)),""))</f>
        <v/>
      </c>
      <c r="K140" s="56">
        <f>IF(A140="","",IFERROR(INDEX('Turn Log'!$R$5:$R$5000,MATCH(1,('Turn Log'!$B$5:$B$5000=A140)*('Turn Log'!$C$5:$C$5000=I140),0)),""))</f>
        <v/>
      </c>
      <c r="L140" s="56">
        <f>IF(A140="","",COUNTIFS('Turn Log'!$B$5:$B$5000,A140,'Turn Log'!$X$5:$X$5000,1))</f>
        <v/>
      </c>
      <c r="M140" s="56">
        <f>IF(A140="","",COUNTIFS('Turn Log'!$B$5:$B$5000,A140,'Turn Log'!$Y$5:$Y$5000,1))</f>
        <v/>
      </c>
      <c r="N140" s="56">
        <f>IF(A140="","",COUNTIFS('Turn Log'!$B$5:$B$5000,A140,'Turn Log'!$W$5:$W$5000,1))</f>
        <v/>
      </c>
      <c r="O140" s="56">
        <f>IF(H140="","No","Yes")</f>
        <v/>
      </c>
      <c r="P140" s="56">
        <f>IF(A140="","",COUNTIFS('Stability Checks'!$A$5:$A$2000,A140,'Stability Checks'!$C$5:$C$2000,"Re-execution",'Stability Checks'!$E$5:$E$2000,"Pass"))</f>
        <v/>
      </c>
      <c r="Q140" s="56">
        <f>IF(A140="","",COUNTIFS('Stability Checks'!$A$5:$A$2000,A140,'Stability Checks'!$C$5:$C$2000,"Re-prompt",'Stability Checks'!$E$5:$E$2000,"Pass"))</f>
        <v/>
      </c>
      <c r="R140" s="47">
        <f>IF(A140="","",'Run Plan'!Q140)</f>
        <v/>
      </c>
      <c r="S140" s="50" t="n"/>
    </row>
    <row r="141" ht="15.75" customHeight="1" s="40">
      <c r="A141" s="55">
        <f>IF('Run Plan'!A141="","",'Run Plan'!A141)</f>
        <v/>
      </c>
      <c r="B141" s="55">
        <f>IF(A141="","",'Run Plan'!C141)</f>
        <v/>
      </c>
      <c r="C141" s="55">
        <f>IF(A141="","",'Run Plan'!E141)</f>
        <v/>
      </c>
      <c r="D141" s="54">
        <f>IF(A141="","",'Run Plan'!G141)</f>
        <v/>
      </c>
      <c r="E141" s="47">
        <f>IF(A141="","",'Run Plan'!K141)</f>
        <v/>
      </c>
      <c r="F141" s="47">
        <f>IF(A141="","",'Run Plan'!J141)</f>
        <v/>
      </c>
      <c r="G141" s="56">
        <f>IF(A141="","",COUNTIF('Turn Log'!$B$5:$B$5000,A141))</f>
        <v/>
      </c>
      <c r="H141" s="56">
        <f>IF(A141="","",IFERROR(MINIFS('Turn Log'!$C$5:$C$5000,'Turn Log'!$B$5:$B$5000,A141,'Turn Log'!$Q$5:$Q$5000,"Pass"),""))</f>
        <v/>
      </c>
      <c r="I141" s="56">
        <f>IF(A141="","",IFERROR(MAXIFS('Turn Log'!$C$5:$C$5000,'Turn Log'!$B$5:$B$5000,A141),""))</f>
        <v/>
      </c>
      <c r="J141" s="56">
        <f>IF(A141="","",IFERROR(INDEX('Turn Log'!$Q$5:$Q$5000,MATCH(1,('Turn Log'!$B$5:$B$5000=A141)*('Turn Log'!$C$5:$C$5000=I141),0)),""))</f>
        <v/>
      </c>
      <c r="K141" s="56">
        <f>IF(A141="","",IFERROR(INDEX('Turn Log'!$R$5:$R$5000,MATCH(1,('Turn Log'!$B$5:$B$5000=A141)*('Turn Log'!$C$5:$C$5000=I141),0)),""))</f>
        <v/>
      </c>
      <c r="L141" s="56">
        <f>IF(A141="","",COUNTIFS('Turn Log'!$B$5:$B$5000,A141,'Turn Log'!$X$5:$X$5000,1))</f>
        <v/>
      </c>
      <c r="M141" s="56">
        <f>IF(A141="","",COUNTIFS('Turn Log'!$B$5:$B$5000,A141,'Turn Log'!$Y$5:$Y$5000,1))</f>
        <v/>
      </c>
      <c r="N141" s="56">
        <f>IF(A141="","",COUNTIFS('Turn Log'!$B$5:$B$5000,A141,'Turn Log'!$W$5:$W$5000,1))</f>
        <v/>
      </c>
      <c r="O141" s="56">
        <f>IF(H141="","No","Yes")</f>
        <v/>
      </c>
      <c r="P141" s="56">
        <f>IF(A141="","",COUNTIFS('Stability Checks'!$A$5:$A$2000,A141,'Stability Checks'!$C$5:$C$2000,"Re-execution",'Stability Checks'!$E$5:$E$2000,"Pass"))</f>
        <v/>
      </c>
      <c r="Q141" s="56">
        <f>IF(A141="","",COUNTIFS('Stability Checks'!$A$5:$A$2000,A141,'Stability Checks'!$C$5:$C$2000,"Re-prompt",'Stability Checks'!$E$5:$E$2000,"Pass"))</f>
        <v/>
      </c>
      <c r="R141" s="47">
        <f>IF(A141="","",'Run Plan'!Q141)</f>
        <v/>
      </c>
      <c r="S141" s="50" t="n"/>
    </row>
    <row r="142" ht="15.75" customHeight="1" s="40">
      <c r="A142" s="55">
        <f>IF('Run Plan'!A142="","",'Run Plan'!A142)</f>
        <v/>
      </c>
      <c r="B142" s="55">
        <f>IF(A142="","",'Run Plan'!C142)</f>
        <v/>
      </c>
      <c r="C142" s="55">
        <f>IF(A142="","",'Run Plan'!E142)</f>
        <v/>
      </c>
      <c r="D142" s="54">
        <f>IF(A142="","",'Run Plan'!G142)</f>
        <v/>
      </c>
      <c r="E142" s="47">
        <f>IF(A142="","",'Run Plan'!K142)</f>
        <v/>
      </c>
      <c r="F142" s="47">
        <f>IF(A142="","",'Run Plan'!J142)</f>
        <v/>
      </c>
      <c r="G142" s="56">
        <f>IF(A142="","",COUNTIF('Turn Log'!$B$5:$B$5000,A142))</f>
        <v/>
      </c>
      <c r="H142" s="56">
        <f>IF(A142="","",IFERROR(MINIFS('Turn Log'!$C$5:$C$5000,'Turn Log'!$B$5:$B$5000,A142,'Turn Log'!$Q$5:$Q$5000,"Pass"),""))</f>
        <v/>
      </c>
      <c r="I142" s="56">
        <f>IF(A142="","",IFERROR(MAXIFS('Turn Log'!$C$5:$C$5000,'Turn Log'!$B$5:$B$5000,A142),""))</f>
        <v/>
      </c>
      <c r="J142" s="56">
        <f>IF(A142="","",IFERROR(INDEX('Turn Log'!$Q$5:$Q$5000,MATCH(1,('Turn Log'!$B$5:$B$5000=A142)*('Turn Log'!$C$5:$C$5000=I142),0)),""))</f>
        <v/>
      </c>
      <c r="K142" s="56">
        <f>IF(A142="","",IFERROR(INDEX('Turn Log'!$R$5:$R$5000,MATCH(1,('Turn Log'!$B$5:$B$5000=A142)*('Turn Log'!$C$5:$C$5000=I142),0)),""))</f>
        <v/>
      </c>
      <c r="L142" s="56">
        <f>IF(A142="","",COUNTIFS('Turn Log'!$B$5:$B$5000,A142,'Turn Log'!$X$5:$X$5000,1))</f>
        <v/>
      </c>
      <c r="M142" s="56">
        <f>IF(A142="","",COUNTIFS('Turn Log'!$B$5:$B$5000,A142,'Turn Log'!$Y$5:$Y$5000,1))</f>
        <v/>
      </c>
      <c r="N142" s="56">
        <f>IF(A142="","",COUNTIFS('Turn Log'!$B$5:$B$5000,A142,'Turn Log'!$W$5:$W$5000,1))</f>
        <v/>
      </c>
      <c r="O142" s="56">
        <f>IF(H142="","No","Yes")</f>
        <v/>
      </c>
      <c r="P142" s="56">
        <f>IF(A142="","",COUNTIFS('Stability Checks'!$A$5:$A$2000,A142,'Stability Checks'!$C$5:$C$2000,"Re-execution",'Stability Checks'!$E$5:$E$2000,"Pass"))</f>
        <v/>
      </c>
      <c r="Q142" s="56">
        <f>IF(A142="","",COUNTIFS('Stability Checks'!$A$5:$A$2000,A142,'Stability Checks'!$C$5:$C$2000,"Re-prompt",'Stability Checks'!$E$5:$E$2000,"Pass"))</f>
        <v/>
      </c>
      <c r="R142" s="47">
        <f>IF(A142="","",'Run Plan'!Q142)</f>
        <v/>
      </c>
      <c r="S142" s="50" t="n"/>
    </row>
    <row r="143" ht="15.75" customHeight="1" s="40">
      <c r="A143" s="55">
        <f>IF('Run Plan'!A143="","",'Run Plan'!A143)</f>
        <v/>
      </c>
      <c r="B143" s="55">
        <f>IF(A143="","",'Run Plan'!C143)</f>
        <v/>
      </c>
      <c r="C143" s="55">
        <f>IF(A143="","",'Run Plan'!E143)</f>
        <v/>
      </c>
      <c r="D143" s="54">
        <f>IF(A143="","",'Run Plan'!G143)</f>
        <v/>
      </c>
      <c r="E143" s="47">
        <f>IF(A143="","",'Run Plan'!K143)</f>
        <v/>
      </c>
      <c r="F143" s="47">
        <f>IF(A143="","",'Run Plan'!J143)</f>
        <v/>
      </c>
      <c r="G143" s="56">
        <f>IF(A143="","",COUNTIF('Turn Log'!$B$5:$B$5000,A143))</f>
        <v/>
      </c>
      <c r="H143" s="56">
        <f>IF(A143="","",IFERROR(MINIFS('Turn Log'!$C$5:$C$5000,'Turn Log'!$B$5:$B$5000,A143,'Turn Log'!$Q$5:$Q$5000,"Pass"),""))</f>
        <v/>
      </c>
      <c r="I143" s="56">
        <f>IF(A143="","",IFERROR(MAXIFS('Turn Log'!$C$5:$C$5000,'Turn Log'!$B$5:$B$5000,A143),""))</f>
        <v/>
      </c>
      <c r="J143" s="56">
        <f>IF(A143="","",IFERROR(INDEX('Turn Log'!$Q$5:$Q$5000,MATCH(1,('Turn Log'!$B$5:$B$5000=A143)*('Turn Log'!$C$5:$C$5000=I143),0)),""))</f>
        <v/>
      </c>
      <c r="K143" s="56">
        <f>IF(A143="","",IFERROR(INDEX('Turn Log'!$R$5:$R$5000,MATCH(1,('Turn Log'!$B$5:$B$5000=A143)*('Turn Log'!$C$5:$C$5000=I143),0)),""))</f>
        <v/>
      </c>
      <c r="L143" s="56">
        <f>IF(A143="","",COUNTIFS('Turn Log'!$B$5:$B$5000,A143,'Turn Log'!$X$5:$X$5000,1))</f>
        <v/>
      </c>
      <c r="M143" s="56">
        <f>IF(A143="","",COUNTIFS('Turn Log'!$B$5:$B$5000,A143,'Turn Log'!$Y$5:$Y$5000,1))</f>
        <v/>
      </c>
      <c r="N143" s="56">
        <f>IF(A143="","",COUNTIFS('Turn Log'!$B$5:$B$5000,A143,'Turn Log'!$W$5:$W$5000,1))</f>
        <v/>
      </c>
      <c r="O143" s="56">
        <f>IF(H143="","No","Yes")</f>
        <v/>
      </c>
      <c r="P143" s="56">
        <f>IF(A143="","",COUNTIFS('Stability Checks'!$A$5:$A$2000,A143,'Stability Checks'!$C$5:$C$2000,"Re-execution",'Stability Checks'!$E$5:$E$2000,"Pass"))</f>
        <v/>
      </c>
      <c r="Q143" s="56">
        <f>IF(A143="","",COUNTIFS('Stability Checks'!$A$5:$A$2000,A143,'Stability Checks'!$C$5:$C$2000,"Re-prompt",'Stability Checks'!$E$5:$E$2000,"Pass"))</f>
        <v/>
      </c>
      <c r="R143" s="47">
        <f>IF(A143="","",'Run Plan'!Q143)</f>
        <v/>
      </c>
      <c r="S143" s="50" t="n"/>
    </row>
    <row r="144" ht="15.75" customHeight="1" s="40">
      <c r="A144" s="55">
        <f>IF('Run Plan'!A144="","",'Run Plan'!A144)</f>
        <v/>
      </c>
      <c r="B144" s="55">
        <f>IF(A144="","",'Run Plan'!C144)</f>
        <v/>
      </c>
      <c r="C144" s="55">
        <f>IF(A144="","",'Run Plan'!E144)</f>
        <v/>
      </c>
      <c r="D144" s="54">
        <f>IF(A144="","",'Run Plan'!G144)</f>
        <v/>
      </c>
      <c r="E144" s="47">
        <f>IF(A144="","",'Run Plan'!K144)</f>
        <v/>
      </c>
      <c r="F144" s="47">
        <f>IF(A144="","",'Run Plan'!J144)</f>
        <v/>
      </c>
      <c r="G144" s="56">
        <f>IF(A144="","",COUNTIF('Turn Log'!$B$5:$B$5000,A144))</f>
        <v/>
      </c>
      <c r="H144" s="56">
        <f>IF(A144="","",IFERROR(MINIFS('Turn Log'!$C$5:$C$5000,'Turn Log'!$B$5:$B$5000,A144,'Turn Log'!$Q$5:$Q$5000,"Pass"),""))</f>
        <v/>
      </c>
      <c r="I144" s="56">
        <f>IF(A144="","",IFERROR(MAXIFS('Turn Log'!$C$5:$C$5000,'Turn Log'!$B$5:$B$5000,A144),""))</f>
        <v/>
      </c>
      <c r="J144" s="56">
        <f>IF(A144="","",IFERROR(INDEX('Turn Log'!$Q$5:$Q$5000,MATCH(1,('Turn Log'!$B$5:$B$5000=A144)*('Turn Log'!$C$5:$C$5000=I144),0)),""))</f>
        <v/>
      </c>
      <c r="K144" s="56">
        <f>IF(A144="","",IFERROR(INDEX('Turn Log'!$R$5:$R$5000,MATCH(1,('Turn Log'!$B$5:$B$5000=A144)*('Turn Log'!$C$5:$C$5000=I144),0)),""))</f>
        <v/>
      </c>
      <c r="L144" s="56">
        <f>IF(A144="","",COUNTIFS('Turn Log'!$B$5:$B$5000,A144,'Turn Log'!$X$5:$X$5000,1))</f>
        <v/>
      </c>
      <c r="M144" s="56">
        <f>IF(A144="","",COUNTIFS('Turn Log'!$B$5:$B$5000,A144,'Turn Log'!$Y$5:$Y$5000,1))</f>
        <v/>
      </c>
      <c r="N144" s="56">
        <f>IF(A144="","",COUNTIFS('Turn Log'!$B$5:$B$5000,A144,'Turn Log'!$W$5:$W$5000,1))</f>
        <v/>
      </c>
      <c r="O144" s="56">
        <f>IF(H144="","No","Yes")</f>
        <v/>
      </c>
      <c r="P144" s="56">
        <f>IF(A144="","",COUNTIFS('Stability Checks'!$A$5:$A$2000,A144,'Stability Checks'!$C$5:$C$2000,"Re-execution",'Stability Checks'!$E$5:$E$2000,"Pass"))</f>
        <v/>
      </c>
      <c r="Q144" s="56">
        <f>IF(A144="","",COUNTIFS('Stability Checks'!$A$5:$A$2000,A144,'Stability Checks'!$C$5:$C$2000,"Re-prompt",'Stability Checks'!$E$5:$E$2000,"Pass"))</f>
        <v/>
      </c>
      <c r="R144" s="47">
        <f>IF(A144="","",'Run Plan'!Q144)</f>
        <v/>
      </c>
      <c r="S144" s="50" t="n"/>
    </row>
    <row r="145" ht="15.75" customHeight="1" s="40">
      <c r="A145" s="55">
        <f>IF('Run Plan'!A145="","",'Run Plan'!A145)</f>
        <v/>
      </c>
      <c r="B145" s="55">
        <f>IF(A145="","",'Run Plan'!C145)</f>
        <v/>
      </c>
      <c r="C145" s="55">
        <f>IF(A145="","",'Run Plan'!E145)</f>
        <v/>
      </c>
      <c r="D145" s="54">
        <f>IF(A145="","",'Run Plan'!G145)</f>
        <v/>
      </c>
      <c r="E145" s="47">
        <f>IF(A145="","",'Run Plan'!K145)</f>
        <v/>
      </c>
      <c r="F145" s="47">
        <f>IF(A145="","",'Run Plan'!J145)</f>
        <v/>
      </c>
      <c r="G145" s="56">
        <f>IF(A145="","",COUNTIF('Turn Log'!$B$5:$B$5000,A145))</f>
        <v/>
      </c>
      <c r="H145" s="56">
        <f>IF(A145="","",IFERROR(MINIFS('Turn Log'!$C$5:$C$5000,'Turn Log'!$B$5:$B$5000,A145,'Turn Log'!$Q$5:$Q$5000,"Pass"),""))</f>
        <v/>
      </c>
      <c r="I145" s="56">
        <f>IF(A145="","",IFERROR(MAXIFS('Turn Log'!$C$5:$C$5000,'Turn Log'!$B$5:$B$5000,A145),""))</f>
        <v/>
      </c>
      <c r="J145" s="56">
        <f>IF(A145="","",IFERROR(INDEX('Turn Log'!$Q$5:$Q$5000,MATCH(1,('Turn Log'!$B$5:$B$5000=A145)*('Turn Log'!$C$5:$C$5000=I145),0)),""))</f>
        <v/>
      </c>
      <c r="K145" s="56">
        <f>IF(A145="","",IFERROR(INDEX('Turn Log'!$R$5:$R$5000,MATCH(1,('Turn Log'!$B$5:$B$5000=A145)*('Turn Log'!$C$5:$C$5000=I145),0)),""))</f>
        <v/>
      </c>
      <c r="L145" s="56">
        <f>IF(A145="","",COUNTIFS('Turn Log'!$B$5:$B$5000,A145,'Turn Log'!$X$5:$X$5000,1))</f>
        <v/>
      </c>
      <c r="M145" s="56">
        <f>IF(A145="","",COUNTIFS('Turn Log'!$B$5:$B$5000,A145,'Turn Log'!$Y$5:$Y$5000,1))</f>
        <v/>
      </c>
      <c r="N145" s="56">
        <f>IF(A145="","",COUNTIFS('Turn Log'!$B$5:$B$5000,A145,'Turn Log'!$W$5:$W$5000,1))</f>
        <v/>
      </c>
      <c r="O145" s="56">
        <f>IF(H145="","No","Yes")</f>
        <v/>
      </c>
      <c r="P145" s="56">
        <f>IF(A145="","",COUNTIFS('Stability Checks'!$A$5:$A$2000,A145,'Stability Checks'!$C$5:$C$2000,"Re-execution",'Stability Checks'!$E$5:$E$2000,"Pass"))</f>
        <v/>
      </c>
      <c r="Q145" s="56">
        <f>IF(A145="","",COUNTIFS('Stability Checks'!$A$5:$A$2000,A145,'Stability Checks'!$C$5:$C$2000,"Re-prompt",'Stability Checks'!$E$5:$E$2000,"Pass"))</f>
        <v/>
      </c>
      <c r="R145" s="47">
        <f>IF(A145="","",'Run Plan'!Q145)</f>
        <v/>
      </c>
      <c r="S145" s="50" t="n"/>
    </row>
    <row r="146" ht="15.75" customHeight="1" s="40">
      <c r="A146" s="55">
        <f>IF('Run Plan'!A146="","",'Run Plan'!A146)</f>
        <v/>
      </c>
      <c r="B146" s="55">
        <f>IF(A146="","",'Run Plan'!C146)</f>
        <v/>
      </c>
      <c r="C146" s="55">
        <f>IF(A146="","",'Run Plan'!E146)</f>
        <v/>
      </c>
      <c r="D146" s="54">
        <f>IF(A146="","",'Run Plan'!G146)</f>
        <v/>
      </c>
      <c r="E146" s="47">
        <f>IF(A146="","",'Run Plan'!K146)</f>
        <v/>
      </c>
      <c r="F146" s="47">
        <f>IF(A146="","",'Run Plan'!J146)</f>
        <v/>
      </c>
      <c r="G146" s="56">
        <f>IF(A146="","",COUNTIF('Turn Log'!$B$5:$B$5000,A146))</f>
        <v/>
      </c>
      <c r="H146" s="56">
        <f>IF(A146="","",IFERROR(MINIFS('Turn Log'!$C$5:$C$5000,'Turn Log'!$B$5:$B$5000,A146,'Turn Log'!$Q$5:$Q$5000,"Pass"),""))</f>
        <v/>
      </c>
      <c r="I146" s="56">
        <f>IF(A146="","",IFERROR(MAXIFS('Turn Log'!$C$5:$C$5000,'Turn Log'!$B$5:$B$5000,A146),""))</f>
        <v/>
      </c>
      <c r="J146" s="56">
        <f>IF(A146="","",IFERROR(INDEX('Turn Log'!$Q$5:$Q$5000,MATCH(1,('Turn Log'!$B$5:$B$5000=A146)*('Turn Log'!$C$5:$C$5000=I146),0)),""))</f>
        <v/>
      </c>
      <c r="K146" s="56">
        <f>IF(A146="","",IFERROR(INDEX('Turn Log'!$R$5:$R$5000,MATCH(1,('Turn Log'!$B$5:$B$5000=A146)*('Turn Log'!$C$5:$C$5000=I146),0)),""))</f>
        <v/>
      </c>
      <c r="L146" s="56">
        <f>IF(A146="","",COUNTIFS('Turn Log'!$B$5:$B$5000,A146,'Turn Log'!$X$5:$X$5000,1))</f>
        <v/>
      </c>
      <c r="M146" s="56">
        <f>IF(A146="","",COUNTIFS('Turn Log'!$B$5:$B$5000,A146,'Turn Log'!$Y$5:$Y$5000,1))</f>
        <v/>
      </c>
      <c r="N146" s="56">
        <f>IF(A146="","",COUNTIFS('Turn Log'!$B$5:$B$5000,A146,'Turn Log'!$W$5:$W$5000,1))</f>
        <v/>
      </c>
      <c r="O146" s="56">
        <f>IF(H146="","No","Yes")</f>
        <v/>
      </c>
      <c r="P146" s="56">
        <f>IF(A146="","",COUNTIFS('Stability Checks'!$A$5:$A$2000,A146,'Stability Checks'!$C$5:$C$2000,"Re-execution",'Stability Checks'!$E$5:$E$2000,"Pass"))</f>
        <v/>
      </c>
      <c r="Q146" s="56">
        <f>IF(A146="","",COUNTIFS('Stability Checks'!$A$5:$A$2000,A146,'Stability Checks'!$C$5:$C$2000,"Re-prompt",'Stability Checks'!$E$5:$E$2000,"Pass"))</f>
        <v/>
      </c>
      <c r="R146" s="47">
        <f>IF(A146="","",'Run Plan'!Q146)</f>
        <v/>
      </c>
      <c r="S146" s="50" t="n"/>
    </row>
    <row r="147" ht="15.75" customHeight="1" s="40">
      <c r="A147" s="55">
        <f>IF('Run Plan'!A147="","",'Run Plan'!A147)</f>
        <v/>
      </c>
      <c r="B147" s="55">
        <f>IF(A147="","",'Run Plan'!C147)</f>
        <v/>
      </c>
      <c r="C147" s="55">
        <f>IF(A147="","",'Run Plan'!E147)</f>
        <v/>
      </c>
      <c r="D147" s="54">
        <f>IF(A147="","",'Run Plan'!G147)</f>
        <v/>
      </c>
      <c r="E147" s="47">
        <f>IF(A147="","",'Run Plan'!K147)</f>
        <v/>
      </c>
      <c r="F147" s="47">
        <f>IF(A147="","",'Run Plan'!J147)</f>
        <v/>
      </c>
      <c r="G147" s="56">
        <f>IF(A147="","",COUNTIF('Turn Log'!$B$5:$B$5000,A147))</f>
        <v/>
      </c>
      <c r="H147" s="56">
        <f>IF(A147="","",IFERROR(MINIFS('Turn Log'!$C$5:$C$5000,'Turn Log'!$B$5:$B$5000,A147,'Turn Log'!$Q$5:$Q$5000,"Pass"),""))</f>
        <v/>
      </c>
      <c r="I147" s="56">
        <f>IF(A147="","",IFERROR(MAXIFS('Turn Log'!$C$5:$C$5000,'Turn Log'!$B$5:$B$5000,A147),""))</f>
        <v/>
      </c>
      <c r="J147" s="56">
        <f>IF(A147="","",IFERROR(INDEX('Turn Log'!$Q$5:$Q$5000,MATCH(1,('Turn Log'!$B$5:$B$5000=A147)*('Turn Log'!$C$5:$C$5000=I147),0)),""))</f>
        <v/>
      </c>
      <c r="K147" s="56">
        <f>IF(A147="","",IFERROR(INDEX('Turn Log'!$R$5:$R$5000,MATCH(1,('Turn Log'!$B$5:$B$5000=A147)*('Turn Log'!$C$5:$C$5000=I147),0)),""))</f>
        <v/>
      </c>
      <c r="L147" s="56">
        <f>IF(A147="","",COUNTIFS('Turn Log'!$B$5:$B$5000,A147,'Turn Log'!$X$5:$X$5000,1))</f>
        <v/>
      </c>
      <c r="M147" s="56">
        <f>IF(A147="","",COUNTIFS('Turn Log'!$B$5:$B$5000,A147,'Turn Log'!$Y$5:$Y$5000,1))</f>
        <v/>
      </c>
      <c r="N147" s="56">
        <f>IF(A147="","",COUNTIFS('Turn Log'!$B$5:$B$5000,A147,'Turn Log'!$W$5:$W$5000,1))</f>
        <v/>
      </c>
      <c r="O147" s="56">
        <f>IF(H147="","No","Yes")</f>
        <v/>
      </c>
      <c r="P147" s="56">
        <f>IF(A147="","",COUNTIFS('Stability Checks'!$A$5:$A$2000,A147,'Stability Checks'!$C$5:$C$2000,"Re-execution",'Stability Checks'!$E$5:$E$2000,"Pass"))</f>
        <v/>
      </c>
      <c r="Q147" s="56">
        <f>IF(A147="","",COUNTIFS('Stability Checks'!$A$5:$A$2000,A147,'Stability Checks'!$C$5:$C$2000,"Re-prompt",'Stability Checks'!$E$5:$E$2000,"Pass"))</f>
        <v/>
      </c>
      <c r="R147" s="47">
        <f>IF(A147="","",'Run Plan'!Q147)</f>
        <v/>
      </c>
      <c r="S147" s="50" t="n"/>
    </row>
    <row r="148" ht="15.75" customHeight="1" s="40">
      <c r="A148" s="55">
        <f>IF('Run Plan'!A148="","",'Run Plan'!A148)</f>
        <v/>
      </c>
      <c r="B148" s="55">
        <f>IF(A148="","",'Run Plan'!C148)</f>
        <v/>
      </c>
      <c r="C148" s="55">
        <f>IF(A148="","",'Run Plan'!E148)</f>
        <v/>
      </c>
      <c r="D148" s="54">
        <f>IF(A148="","",'Run Plan'!G148)</f>
        <v/>
      </c>
      <c r="E148" s="47">
        <f>IF(A148="","",'Run Plan'!K148)</f>
        <v/>
      </c>
      <c r="F148" s="47">
        <f>IF(A148="","",'Run Plan'!J148)</f>
        <v/>
      </c>
      <c r="G148" s="56">
        <f>IF(A148="","",COUNTIF('Turn Log'!$B$5:$B$5000,A148))</f>
        <v/>
      </c>
      <c r="H148" s="56">
        <f>IF(A148="","",IFERROR(MINIFS('Turn Log'!$C$5:$C$5000,'Turn Log'!$B$5:$B$5000,A148,'Turn Log'!$Q$5:$Q$5000,"Pass"),""))</f>
        <v/>
      </c>
      <c r="I148" s="56">
        <f>IF(A148="","",IFERROR(MAXIFS('Turn Log'!$C$5:$C$5000,'Turn Log'!$B$5:$B$5000,A148),""))</f>
        <v/>
      </c>
      <c r="J148" s="56">
        <f>IF(A148="","",IFERROR(INDEX('Turn Log'!$Q$5:$Q$5000,MATCH(1,('Turn Log'!$B$5:$B$5000=A148)*('Turn Log'!$C$5:$C$5000=I148),0)),""))</f>
        <v/>
      </c>
      <c r="K148" s="56">
        <f>IF(A148="","",IFERROR(INDEX('Turn Log'!$R$5:$R$5000,MATCH(1,('Turn Log'!$B$5:$B$5000=A148)*('Turn Log'!$C$5:$C$5000=I148),0)),""))</f>
        <v/>
      </c>
      <c r="L148" s="56">
        <f>IF(A148="","",COUNTIFS('Turn Log'!$B$5:$B$5000,A148,'Turn Log'!$X$5:$X$5000,1))</f>
        <v/>
      </c>
      <c r="M148" s="56">
        <f>IF(A148="","",COUNTIFS('Turn Log'!$B$5:$B$5000,A148,'Turn Log'!$Y$5:$Y$5000,1))</f>
        <v/>
      </c>
      <c r="N148" s="56">
        <f>IF(A148="","",COUNTIFS('Turn Log'!$B$5:$B$5000,A148,'Turn Log'!$W$5:$W$5000,1))</f>
        <v/>
      </c>
      <c r="O148" s="56">
        <f>IF(H148="","No","Yes")</f>
        <v/>
      </c>
      <c r="P148" s="56">
        <f>IF(A148="","",COUNTIFS('Stability Checks'!$A$5:$A$2000,A148,'Stability Checks'!$C$5:$C$2000,"Re-execution",'Stability Checks'!$E$5:$E$2000,"Pass"))</f>
        <v/>
      </c>
      <c r="Q148" s="56">
        <f>IF(A148="","",COUNTIFS('Stability Checks'!$A$5:$A$2000,A148,'Stability Checks'!$C$5:$C$2000,"Re-prompt",'Stability Checks'!$E$5:$E$2000,"Pass"))</f>
        <v/>
      </c>
      <c r="R148" s="47">
        <f>IF(A148="","",'Run Plan'!Q148)</f>
        <v/>
      </c>
      <c r="S148" s="50" t="n"/>
    </row>
    <row r="149" ht="15.75" customHeight="1" s="40">
      <c r="A149" s="55">
        <f>IF('Run Plan'!A149="","",'Run Plan'!A149)</f>
        <v/>
      </c>
      <c r="B149" s="55">
        <f>IF(A149="","",'Run Plan'!C149)</f>
        <v/>
      </c>
      <c r="C149" s="55">
        <f>IF(A149="","",'Run Plan'!E149)</f>
        <v/>
      </c>
      <c r="D149" s="54">
        <f>IF(A149="","",'Run Plan'!G149)</f>
        <v/>
      </c>
      <c r="E149" s="47">
        <f>IF(A149="","",'Run Plan'!K149)</f>
        <v/>
      </c>
      <c r="F149" s="47">
        <f>IF(A149="","",'Run Plan'!J149)</f>
        <v/>
      </c>
      <c r="G149" s="56">
        <f>IF(A149="","",COUNTIF('Turn Log'!$B$5:$B$5000,A149))</f>
        <v/>
      </c>
      <c r="H149" s="56">
        <f>IF(A149="","",IFERROR(MINIFS('Turn Log'!$C$5:$C$5000,'Turn Log'!$B$5:$B$5000,A149,'Turn Log'!$Q$5:$Q$5000,"Pass"),""))</f>
        <v/>
      </c>
      <c r="I149" s="56">
        <f>IF(A149="","",IFERROR(MAXIFS('Turn Log'!$C$5:$C$5000,'Turn Log'!$B$5:$B$5000,A149),""))</f>
        <v/>
      </c>
      <c r="J149" s="56">
        <f>IF(A149="","",IFERROR(INDEX('Turn Log'!$Q$5:$Q$5000,MATCH(1,('Turn Log'!$B$5:$B$5000=A149)*('Turn Log'!$C$5:$C$5000=I149),0)),""))</f>
        <v/>
      </c>
      <c r="K149" s="56">
        <f>IF(A149="","",IFERROR(INDEX('Turn Log'!$R$5:$R$5000,MATCH(1,('Turn Log'!$B$5:$B$5000=A149)*('Turn Log'!$C$5:$C$5000=I149),0)),""))</f>
        <v/>
      </c>
      <c r="L149" s="56">
        <f>IF(A149="","",COUNTIFS('Turn Log'!$B$5:$B$5000,A149,'Turn Log'!$X$5:$X$5000,1))</f>
        <v/>
      </c>
      <c r="M149" s="56">
        <f>IF(A149="","",COUNTIFS('Turn Log'!$B$5:$B$5000,A149,'Turn Log'!$Y$5:$Y$5000,1))</f>
        <v/>
      </c>
      <c r="N149" s="56">
        <f>IF(A149="","",COUNTIFS('Turn Log'!$B$5:$B$5000,A149,'Turn Log'!$W$5:$W$5000,1))</f>
        <v/>
      </c>
      <c r="O149" s="56">
        <f>IF(H149="","No","Yes")</f>
        <v/>
      </c>
      <c r="P149" s="56">
        <f>IF(A149="","",COUNTIFS('Stability Checks'!$A$5:$A$2000,A149,'Stability Checks'!$C$5:$C$2000,"Re-execution",'Stability Checks'!$E$5:$E$2000,"Pass"))</f>
        <v/>
      </c>
      <c r="Q149" s="56">
        <f>IF(A149="","",COUNTIFS('Stability Checks'!$A$5:$A$2000,A149,'Stability Checks'!$C$5:$C$2000,"Re-prompt",'Stability Checks'!$E$5:$E$2000,"Pass"))</f>
        <v/>
      </c>
      <c r="R149" s="47">
        <f>IF(A149="","",'Run Plan'!Q149)</f>
        <v/>
      </c>
      <c r="S149" s="50" t="n"/>
    </row>
    <row r="150" ht="15.75" customHeight="1" s="40">
      <c r="A150" s="55">
        <f>IF('Run Plan'!A150="","",'Run Plan'!A150)</f>
        <v/>
      </c>
      <c r="B150" s="55">
        <f>IF(A150="","",'Run Plan'!C150)</f>
        <v/>
      </c>
      <c r="C150" s="55">
        <f>IF(A150="","",'Run Plan'!E150)</f>
        <v/>
      </c>
      <c r="D150" s="54">
        <f>IF(A150="","",'Run Plan'!G150)</f>
        <v/>
      </c>
      <c r="E150" s="47">
        <f>IF(A150="","",'Run Plan'!K150)</f>
        <v/>
      </c>
      <c r="F150" s="47">
        <f>IF(A150="","",'Run Plan'!J150)</f>
        <v/>
      </c>
      <c r="G150" s="56">
        <f>IF(A150="","",COUNTIF('Turn Log'!$B$5:$B$5000,A150))</f>
        <v/>
      </c>
      <c r="H150" s="56">
        <f>IF(A150="","",IFERROR(MINIFS('Turn Log'!$C$5:$C$5000,'Turn Log'!$B$5:$B$5000,A150,'Turn Log'!$Q$5:$Q$5000,"Pass"),""))</f>
        <v/>
      </c>
      <c r="I150" s="56">
        <f>IF(A150="","",IFERROR(MAXIFS('Turn Log'!$C$5:$C$5000,'Turn Log'!$B$5:$B$5000,A150),""))</f>
        <v/>
      </c>
      <c r="J150" s="56">
        <f>IF(A150="","",IFERROR(INDEX('Turn Log'!$Q$5:$Q$5000,MATCH(1,('Turn Log'!$B$5:$B$5000=A150)*('Turn Log'!$C$5:$C$5000=I150),0)),""))</f>
        <v/>
      </c>
      <c r="K150" s="56">
        <f>IF(A150="","",IFERROR(INDEX('Turn Log'!$R$5:$R$5000,MATCH(1,('Turn Log'!$B$5:$B$5000=A150)*('Turn Log'!$C$5:$C$5000=I150),0)),""))</f>
        <v/>
      </c>
      <c r="L150" s="56">
        <f>IF(A150="","",COUNTIFS('Turn Log'!$B$5:$B$5000,A150,'Turn Log'!$X$5:$X$5000,1))</f>
        <v/>
      </c>
      <c r="M150" s="56">
        <f>IF(A150="","",COUNTIFS('Turn Log'!$B$5:$B$5000,A150,'Turn Log'!$Y$5:$Y$5000,1))</f>
        <v/>
      </c>
      <c r="N150" s="56">
        <f>IF(A150="","",COUNTIFS('Turn Log'!$B$5:$B$5000,A150,'Turn Log'!$W$5:$W$5000,1))</f>
        <v/>
      </c>
      <c r="O150" s="56">
        <f>IF(H150="","No","Yes")</f>
        <v/>
      </c>
      <c r="P150" s="56">
        <f>IF(A150="","",COUNTIFS('Stability Checks'!$A$5:$A$2000,A150,'Stability Checks'!$C$5:$C$2000,"Re-execution",'Stability Checks'!$E$5:$E$2000,"Pass"))</f>
        <v/>
      </c>
      <c r="Q150" s="56">
        <f>IF(A150="","",COUNTIFS('Stability Checks'!$A$5:$A$2000,A150,'Stability Checks'!$C$5:$C$2000,"Re-prompt",'Stability Checks'!$E$5:$E$2000,"Pass"))</f>
        <v/>
      </c>
      <c r="R150" s="47">
        <f>IF(A150="","",'Run Plan'!Q150)</f>
        <v/>
      </c>
      <c r="S150" s="50" t="n"/>
    </row>
    <row r="151" ht="15.75" customHeight="1" s="40">
      <c r="A151" s="55">
        <f>IF('Run Plan'!A151="","",'Run Plan'!A151)</f>
        <v/>
      </c>
      <c r="B151" s="55">
        <f>IF(A151="","",'Run Plan'!C151)</f>
        <v/>
      </c>
      <c r="C151" s="55">
        <f>IF(A151="","",'Run Plan'!E151)</f>
        <v/>
      </c>
      <c r="D151" s="54">
        <f>IF(A151="","",'Run Plan'!G151)</f>
        <v/>
      </c>
      <c r="E151" s="47">
        <f>IF(A151="","",'Run Plan'!K151)</f>
        <v/>
      </c>
      <c r="F151" s="47">
        <f>IF(A151="","",'Run Plan'!J151)</f>
        <v/>
      </c>
      <c r="G151" s="56">
        <f>IF(A151="","",COUNTIF('Turn Log'!$B$5:$B$5000,A151))</f>
        <v/>
      </c>
      <c r="H151" s="56">
        <f>IF(A151="","",IFERROR(MINIFS('Turn Log'!$C$5:$C$5000,'Turn Log'!$B$5:$B$5000,A151,'Turn Log'!$Q$5:$Q$5000,"Pass"),""))</f>
        <v/>
      </c>
      <c r="I151" s="56">
        <f>IF(A151="","",IFERROR(MAXIFS('Turn Log'!$C$5:$C$5000,'Turn Log'!$B$5:$B$5000,A151),""))</f>
        <v/>
      </c>
      <c r="J151" s="56">
        <f>IF(A151="","",IFERROR(INDEX('Turn Log'!$Q$5:$Q$5000,MATCH(1,('Turn Log'!$B$5:$B$5000=A151)*('Turn Log'!$C$5:$C$5000=I151),0)),""))</f>
        <v/>
      </c>
      <c r="K151" s="56">
        <f>IF(A151="","",IFERROR(INDEX('Turn Log'!$R$5:$R$5000,MATCH(1,('Turn Log'!$B$5:$B$5000=A151)*('Turn Log'!$C$5:$C$5000=I151),0)),""))</f>
        <v/>
      </c>
      <c r="L151" s="56">
        <f>IF(A151="","",COUNTIFS('Turn Log'!$B$5:$B$5000,A151,'Turn Log'!$X$5:$X$5000,1))</f>
        <v/>
      </c>
      <c r="M151" s="56">
        <f>IF(A151="","",COUNTIFS('Turn Log'!$B$5:$B$5000,A151,'Turn Log'!$Y$5:$Y$5000,1))</f>
        <v/>
      </c>
      <c r="N151" s="56">
        <f>IF(A151="","",COUNTIFS('Turn Log'!$B$5:$B$5000,A151,'Turn Log'!$W$5:$W$5000,1))</f>
        <v/>
      </c>
      <c r="O151" s="56">
        <f>IF(H151="","No","Yes")</f>
        <v/>
      </c>
      <c r="P151" s="56">
        <f>IF(A151="","",COUNTIFS('Stability Checks'!$A$5:$A$2000,A151,'Stability Checks'!$C$5:$C$2000,"Re-execution",'Stability Checks'!$E$5:$E$2000,"Pass"))</f>
        <v/>
      </c>
      <c r="Q151" s="56">
        <f>IF(A151="","",COUNTIFS('Stability Checks'!$A$5:$A$2000,A151,'Stability Checks'!$C$5:$C$2000,"Re-prompt",'Stability Checks'!$E$5:$E$2000,"Pass"))</f>
        <v/>
      </c>
      <c r="R151" s="47">
        <f>IF(A151="","",'Run Plan'!Q151)</f>
        <v/>
      </c>
      <c r="S151" s="50" t="n"/>
    </row>
    <row r="152" ht="15.75" customHeight="1" s="40">
      <c r="A152" s="55">
        <f>IF('Run Plan'!A152="","",'Run Plan'!A152)</f>
        <v/>
      </c>
      <c r="B152" s="55">
        <f>IF(A152="","",'Run Plan'!C152)</f>
        <v/>
      </c>
      <c r="C152" s="55">
        <f>IF(A152="","",'Run Plan'!E152)</f>
        <v/>
      </c>
      <c r="D152" s="54">
        <f>IF(A152="","",'Run Plan'!G152)</f>
        <v/>
      </c>
      <c r="E152" s="47">
        <f>IF(A152="","",'Run Plan'!K152)</f>
        <v/>
      </c>
      <c r="F152" s="47">
        <f>IF(A152="","",'Run Plan'!J152)</f>
        <v/>
      </c>
      <c r="G152" s="56">
        <f>IF(A152="","",COUNTIF('Turn Log'!$B$5:$B$5000,A152))</f>
        <v/>
      </c>
      <c r="H152" s="56">
        <f>IF(A152="","",IFERROR(MINIFS('Turn Log'!$C$5:$C$5000,'Turn Log'!$B$5:$B$5000,A152,'Turn Log'!$Q$5:$Q$5000,"Pass"),""))</f>
        <v/>
      </c>
      <c r="I152" s="56">
        <f>IF(A152="","",IFERROR(MAXIFS('Turn Log'!$C$5:$C$5000,'Turn Log'!$B$5:$B$5000,A152),""))</f>
        <v/>
      </c>
      <c r="J152" s="56">
        <f>IF(A152="","",IFERROR(INDEX('Turn Log'!$Q$5:$Q$5000,MATCH(1,('Turn Log'!$B$5:$B$5000=A152)*('Turn Log'!$C$5:$C$5000=I152),0)),""))</f>
        <v/>
      </c>
      <c r="K152" s="56">
        <f>IF(A152="","",IFERROR(INDEX('Turn Log'!$R$5:$R$5000,MATCH(1,('Turn Log'!$B$5:$B$5000=A152)*('Turn Log'!$C$5:$C$5000=I152),0)),""))</f>
        <v/>
      </c>
      <c r="L152" s="56">
        <f>IF(A152="","",COUNTIFS('Turn Log'!$B$5:$B$5000,A152,'Turn Log'!$X$5:$X$5000,1))</f>
        <v/>
      </c>
      <c r="M152" s="56">
        <f>IF(A152="","",COUNTIFS('Turn Log'!$B$5:$B$5000,A152,'Turn Log'!$Y$5:$Y$5000,1))</f>
        <v/>
      </c>
      <c r="N152" s="56">
        <f>IF(A152="","",COUNTIFS('Turn Log'!$B$5:$B$5000,A152,'Turn Log'!$W$5:$W$5000,1))</f>
        <v/>
      </c>
      <c r="O152" s="56">
        <f>IF(H152="","No","Yes")</f>
        <v/>
      </c>
      <c r="P152" s="56">
        <f>IF(A152="","",COUNTIFS('Stability Checks'!$A$5:$A$2000,A152,'Stability Checks'!$C$5:$C$2000,"Re-execution",'Stability Checks'!$E$5:$E$2000,"Pass"))</f>
        <v/>
      </c>
      <c r="Q152" s="56">
        <f>IF(A152="","",COUNTIFS('Stability Checks'!$A$5:$A$2000,A152,'Stability Checks'!$C$5:$C$2000,"Re-prompt",'Stability Checks'!$E$5:$E$2000,"Pass"))</f>
        <v/>
      </c>
      <c r="R152" s="47">
        <f>IF(A152="","",'Run Plan'!Q152)</f>
        <v/>
      </c>
      <c r="S152" s="50" t="n"/>
    </row>
    <row r="153" ht="15.75" customHeight="1" s="40">
      <c r="A153" s="55">
        <f>IF('Run Plan'!A153="","",'Run Plan'!A153)</f>
        <v/>
      </c>
      <c r="B153" s="55">
        <f>IF(A153="","",'Run Plan'!C153)</f>
        <v/>
      </c>
      <c r="C153" s="55">
        <f>IF(A153="","",'Run Plan'!E153)</f>
        <v/>
      </c>
      <c r="D153" s="54">
        <f>IF(A153="","",'Run Plan'!G153)</f>
        <v/>
      </c>
      <c r="E153" s="47">
        <f>IF(A153="","",'Run Plan'!K153)</f>
        <v/>
      </c>
      <c r="F153" s="47">
        <f>IF(A153="","",'Run Plan'!J153)</f>
        <v/>
      </c>
      <c r="G153" s="56">
        <f>IF(A153="","",COUNTIF('Turn Log'!$B$5:$B$5000,A153))</f>
        <v/>
      </c>
      <c r="H153" s="56">
        <f>IF(A153="","",IFERROR(MINIFS('Turn Log'!$C$5:$C$5000,'Turn Log'!$B$5:$B$5000,A153,'Turn Log'!$Q$5:$Q$5000,"Pass"),""))</f>
        <v/>
      </c>
      <c r="I153" s="56">
        <f>IF(A153="","",IFERROR(MAXIFS('Turn Log'!$C$5:$C$5000,'Turn Log'!$B$5:$B$5000,A153),""))</f>
        <v/>
      </c>
      <c r="J153" s="56">
        <f>IF(A153="","",IFERROR(INDEX('Turn Log'!$Q$5:$Q$5000,MATCH(1,('Turn Log'!$B$5:$B$5000=A153)*('Turn Log'!$C$5:$C$5000=I153),0)),""))</f>
        <v/>
      </c>
      <c r="K153" s="56">
        <f>IF(A153="","",IFERROR(INDEX('Turn Log'!$R$5:$R$5000,MATCH(1,('Turn Log'!$B$5:$B$5000=A153)*('Turn Log'!$C$5:$C$5000=I153),0)),""))</f>
        <v/>
      </c>
      <c r="L153" s="56">
        <f>IF(A153="","",COUNTIFS('Turn Log'!$B$5:$B$5000,A153,'Turn Log'!$X$5:$X$5000,1))</f>
        <v/>
      </c>
      <c r="M153" s="56">
        <f>IF(A153="","",COUNTIFS('Turn Log'!$B$5:$B$5000,A153,'Turn Log'!$Y$5:$Y$5000,1))</f>
        <v/>
      </c>
      <c r="N153" s="56">
        <f>IF(A153="","",COUNTIFS('Turn Log'!$B$5:$B$5000,A153,'Turn Log'!$W$5:$W$5000,1))</f>
        <v/>
      </c>
      <c r="O153" s="56">
        <f>IF(H153="","No","Yes")</f>
        <v/>
      </c>
      <c r="P153" s="56">
        <f>IF(A153="","",COUNTIFS('Stability Checks'!$A$5:$A$2000,A153,'Stability Checks'!$C$5:$C$2000,"Re-execution",'Stability Checks'!$E$5:$E$2000,"Pass"))</f>
        <v/>
      </c>
      <c r="Q153" s="56">
        <f>IF(A153="","",COUNTIFS('Stability Checks'!$A$5:$A$2000,A153,'Stability Checks'!$C$5:$C$2000,"Re-prompt",'Stability Checks'!$E$5:$E$2000,"Pass"))</f>
        <v/>
      </c>
      <c r="R153" s="47">
        <f>IF(A153="","",'Run Plan'!Q153)</f>
        <v/>
      </c>
      <c r="S153" s="50" t="n"/>
    </row>
    <row r="154" ht="15.75" customHeight="1" s="40">
      <c r="A154" s="55">
        <f>IF('Run Plan'!A154="","",'Run Plan'!A154)</f>
        <v/>
      </c>
      <c r="B154" s="55">
        <f>IF(A154="","",'Run Plan'!C154)</f>
        <v/>
      </c>
      <c r="C154" s="55">
        <f>IF(A154="","",'Run Plan'!E154)</f>
        <v/>
      </c>
      <c r="D154" s="54">
        <f>IF(A154="","",'Run Plan'!G154)</f>
        <v/>
      </c>
      <c r="E154" s="47">
        <f>IF(A154="","",'Run Plan'!K154)</f>
        <v/>
      </c>
      <c r="F154" s="47">
        <f>IF(A154="","",'Run Plan'!J154)</f>
        <v/>
      </c>
      <c r="G154" s="56">
        <f>IF(A154="","",COUNTIF('Turn Log'!$B$5:$B$5000,A154))</f>
        <v/>
      </c>
      <c r="H154" s="56">
        <f>IF(A154="","",IFERROR(MINIFS('Turn Log'!$C$5:$C$5000,'Turn Log'!$B$5:$B$5000,A154,'Turn Log'!$Q$5:$Q$5000,"Pass"),""))</f>
        <v/>
      </c>
      <c r="I154" s="56">
        <f>IF(A154="","",IFERROR(MAXIFS('Turn Log'!$C$5:$C$5000,'Turn Log'!$B$5:$B$5000,A154),""))</f>
        <v/>
      </c>
      <c r="J154" s="56">
        <f>IF(A154="","",IFERROR(INDEX('Turn Log'!$Q$5:$Q$5000,MATCH(1,('Turn Log'!$B$5:$B$5000=A154)*('Turn Log'!$C$5:$C$5000=I154),0)),""))</f>
        <v/>
      </c>
      <c r="K154" s="56">
        <f>IF(A154="","",IFERROR(INDEX('Turn Log'!$R$5:$R$5000,MATCH(1,('Turn Log'!$B$5:$B$5000=A154)*('Turn Log'!$C$5:$C$5000=I154),0)),""))</f>
        <v/>
      </c>
      <c r="L154" s="56">
        <f>IF(A154="","",COUNTIFS('Turn Log'!$B$5:$B$5000,A154,'Turn Log'!$X$5:$X$5000,1))</f>
        <v/>
      </c>
      <c r="M154" s="56">
        <f>IF(A154="","",COUNTIFS('Turn Log'!$B$5:$B$5000,A154,'Turn Log'!$Y$5:$Y$5000,1))</f>
        <v/>
      </c>
      <c r="N154" s="56">
        <f>IF(A154="","",COUNTIFS('Turn Log'!$B$5:$B$5000,A154,'Turn Log'!$W$5:$W$5000,1))</f>
        <v/>
      </c>
      <c r="O154" s="56">
        <f>IF(H154="","No","Yes")</f>
        <v/>
      </c>
      <c r="P154" s="56">
        <f>IF(A154="","",COUNTIFS('Stability Checks'!$A$5:$A$2000,A154,'Stability Checks'!$C$5:$C$2000,"Re-execution",'Stability Checks'!$E$5:$E$2000,"Pass"))</f>
        <v/>
      </c>
      <c r="Q154" s="56">
        <f>IF(A154="","",COUNTIFS('Stability Checks'!$A$5:$A$2000,A154,'Stability Checks'!$C$5:$C$2000,"Re-prompt",'Stability Checks'!$E$5:$E$2000,"Pass"))</f>
        <v/>
      </c>
      <c r="R154" s="47">
        <f>IF(A154="","",'Run Plan'!Q154)</f>
        <v/>
      </c>
      <c r="S154" s="50" t="n"/>
    </row>
    <row r="155" ht="15.75" customHeight="1" s="40">
      <c r="A155" s="55">
        <f>IF('Run Plan'!A155="","",'Run Plan'!A155)</f>
        <v/>
      </c>
      <c r="B155" s="55">
        <f>IF(A155="","",'Run Plan'!C155)</f>
        <v/>
      </c>
      <c r="C155" s="55">
        <f>IF(A155="","",'Run Plan'!E155)</f>
        <v/>
      </c>
      <c r="D155" s="54">
        <f>IF(A155="","",'Run Plan'!G155)</f>
        <v/>
      </c>
      <c r="E155" s="47">
        <f>IF(A155="","",'Run Plan'!K155)</f>
        <v/>
      </c>
      <c r="F155" s="47">
        <f>IF(A155="","",'Run Plan'!J155)</f>
        <v/>
      </c>
      <c r="G155" s="56">
        <f>IF(A155="","",COUNTIF('Turn Log'!$B$5:$B$5000,A155))</f>
        <v/>
      </c>
      <c r="H155" s="56">
        <f>IF(A155="","",IFERROR(MINIFS('Turn Log'!$C$5:$C$5000,'Turn Log'!$B$5:$B$5000,A155,'Turn Log'!$Q$5:$Q$5000,"Pass"),""))</f>
        <v/>
      </c>
      <c r="I155" s="56">
        <f>IF(A155="","",IFERROR(MAXIFS('Turn Log'!$C$5:$C$5000,'Turn Log'!$B$5:$B$5000,A155),""))</f>
        <v/>
      </c>
      <c r="J155" s="56">
        <f>IF(A155="","",IFERROR(INDEX('Turn Log'!$Q$5:$Q$5000,MATCH(1,('Turn Log'!$B$5:$B$5000=A155)*('Turn Log'!$C$5:$C$5000=I155),0)),""))</f>
        <v/>
      </c>
      <c r="K155" s="56">
        <f>IF(A155="","",IFERROR(INDEX('Turn Log'!$R$5:$R$5000,MATCH(1,('Turn Log'!$B$5:$B$5000=A155)*('Turn Log'!$C$5:$C$5000=I155),0)),""))</f>
        <v/>
      </c>
      <c r="L155" s="56">
        <f>IF(A155="","",COUNTIFS('Turn Log'!$B$5:$B$5000,A155,'Turn Log'!$X$5:$X$5000,1))</f>
        <v/>
      </c>
      <c r="M155" s="56">
        <f>IF(A155="","",COUNTIFS('Turn Log'!$B$5:$B$5000,A155,'Turn Log'!$Y$5:$Y$5000,1))</f>
        <v/>
      </c>
      <c r="N155" s="56">
        <f>IF(A155="","",COUNTIFS('Turn Log'!$B$5:$B$5000,A155,'Turn Log'!$W$5:$W$5000,1))</f>
        <v/>
      </c>
      <c r="O155" s="56">
        <f>IF(H155="","No","Yes")</f>
        <v/>
      </c>
      <c r="P155" s="56">
        <f>IF(A155="","",COUNTIFS('Stability Checks'!$A$5:$A$2000,A155,'Stability Checks'!$C$5:$C$2000,"Re-execution",'Stability Checks'!$E$5:$E$2000,"Pass"))</f>
        <v/>
      </c>
      <c r="Q155" s="56">
        <f>IF(A155="","",COUNTIFS('Stability Checks'!$A$5:$A$2000,A155,'Stability Checks'!$C$5:$C$2000,"Re-prompt",'Stability Checks'!$E$5:$E$2000,"Pass"))</f>
        <v/>
      </c>
      <c r="R155" s="47">
        <f>IF(A155="","",'Run Plan'!Q155)</f>
        <v/>
      </c>
      <c r="S155" s="50" t="n"/>
    </row>
    <row r="156" ht="15.75" customHeight="1" s="40">
      <c r="A156" s="55">
        <f>IF('Run Plan'!A156="","",'Run Plan'!A156)</f>
        <v/>
      </c>
      <c r="B156" s="55">
        <f>IF(A156="","",'Run Plan'!C156)</f>
        <v/>
      </c>
      <c r="C156" s="55">
        <f>IF(A156="","",'Run Plan'!E156)</f>
        <v/>
      </c>
      <c r="D156" s="54">
        <f>IF(A156="","",'Run Plan'!G156)</f>
        <v/>
      </c>
      <c r="E156" s="47">
        <f>IF(A156="","",'Run Plan'!K156)</f>
        <v/>
      </c>
      <c r="F156" s="47">
        <f>IF(A156="","",'Run Plan'!J156)</f>
        <v/>
      </c>
      <c r="G156" s="56">
        <f>IF(A156="","",COUNTIF('Turn Log'!$B$5:$B$5000,A156))</f>
        <v/>
      </c>
      <c r="H156" s="56">
        <f>IF(A156="","",IFERROR(MINIFS('Turn Log'!$C$5:$C$5000,'Turn Log'!$B$5:$B$5000,A156,'Turn Log'!$Q$5:$Q$5000,"Pass"),""))</f>
        <v/>
      </c>
      <c r="I156" s="56">
        <f>IF(A156="","",IFERROR(MAXIFS('Turn Log'!$C$5:$C$5000,'Turn Log'!$B$5:$B$5000,A156),""))</f>
        <v/>
      </c>
      <c r="J156" s="56">
        <f>IF(A156="","",IFERROR(INDEX('Turn Log'!$Q$5:$Q$5000,MATCH(1,('Turn Log'!$B$5:$B$5000=A156)*('Turn Log'!$C$5:$C$5000=I156),0)),""))</f>
        <v/>
      </c>
      <c r="K156" s="56">
        <f>IF(A156="","",IFERROR(INDEX('Turn Log'!$R$5:$R$5000,MATCH(1,('Turn Log'!$B$5:$B$5000=A156)*('Turn Log'!$C$5:$C$5000=I156),0)),""))</f>
        <v/>
      </c>
      <c r="L156" s="56">
        <f>IF(A156="","",COUNTIFS('Turn Log'!$B$5:$B$5000,A156,'Turn Log'!$X$5:$X$5000,1))</f>
        <v/>
      </c>
      <c r="M156" s="56">
        <f>IF(A156="","",COUNTIFS('Turn Log'!$B$5:$B$5000,A156,'Turn Log'!$Y$5:$Y$5000,1))</f>
        <v/>
      </c>
      <c r="N156" s="56">
        <f>IF(A156="","",COUNTIFS('Turn Log'!$B$5:$B$5000,A156,'Turn Log'!$W$5:$W$5000,1))</f>
        <v/>
      </c>
      <c r="O156" s="56">
        <f>IF(H156="","No","Yes")</f>
        <v/>
      </c>
      <c r="P156" s="56">
        <f>IF(A156="","",COUNTIFS('Stability Checks'!$A$5:$A$2000,A156,'Stability Checks'!$C$5:$C$2000,"Re-execution",'Stability Checks'!$E$5:$E$2000,"Pass"))</f>
        <v/>
      </c>
      <c r="Q156" s="56">
        <f>IF(A156="","",COUNTIFS('Stability Checks'!$A$5:$A$2000,A156,'Stability Checks'!$C$5:$C$2000,"Re-prompt",'Stability Checks'!$E$5:$E$2000,"Pass"))</f>
        <v/>
      </c>
      <c r="R156" s="47">
        <f>IF(A156="","",'Run Plan'!Q156)</f>
        <v/>
      </c>
      <c r="S156" s="50" t="n"/>
    </row>
    <row r="157" ht="15.75" customHeight="1" s="40">
      <c r="A157" s="55">
        <f>IF('Run Plan'!A157="","",'Run Plan'!A157)</f>
        <v/>
      </c>
      <c r="B157" s="55">
        <f>IF(A157="","",'Run Plan'!C157)</f>
        <v/>
      </c>
      <c r="C157" s="55">
        <f>IF(A157="","",'Run Plan'!E157)</f>
        <v/>
      </c>
      <c r="D157" s="54">
        <f>IF(A157="","",'Run Plan'!G157)</f>
        <v/>
      </c>
      <c r="E157" s="47">
        <f>IF(A157="","",'Run Plan'!K157)</f>
        <v/>
      </c>
      <c r="F157" s="47">
        <f>IF(A157="","",'Run Plan'!J157)</f>
        <v/>
      </c>
      <c r="G157" s="56">
        <f>IF(A157="","",COUNTIF('Turn Log'!$B$5:$B$5000,A157))</f>
        <v/>
      </c>
      <c r="H157" s="56">
        <f>IF(A157="","",IFERROR(MINIFS('Turn Log'!$C$5:$C$5000,'Turn Log'!$B$5:$B$5000,A157,'Turn Log'!$Q$5:$Q$5000,"Pass"),""))</f>
        <v/>
      </c>
      <c r="I157" s="56">
        <f>IF(A157="","",IFERROR(MAXIFS('Turn Log'!$C$5:$C$5000,'Turn Log'!$B$5:$B$5000,A157),""))</f>
        <v/>
      </c>
      <c r="J157" s="56">
        <f>IF(A157="","",IFERROR(INDEX('Turn Log'!$Q$5:$Q$5000,MATCH(1,('Turn Log'!$B$5:$B$5000=A157)*('Turn Log'!$C$5:$C$5000=I157),0)),""))</f>
        <v/>
      </c>
      <c r="K157" s="56">
        <f>IF(A157="","",IFERROR(INDEX('Turn Log'!$R$5:$R$5000,MATCH(1,('Turn Log'!$B$5:$B$5000=A157)*('Turn Log'!$C$5:$C$5000=I157),0)),""))</f>
        <v/>
      </c>
      <c r="L157" s="56">
        <f>IF(A157="","",COUNTIFS('Turn Log'!$B$5:$B$5000,A157,'Turn Log'!$X$5:$X$5000,1))</f>
        <v/>
      </c>
      <c r="M157" s="56">
        <f>IF(A157="","",COUNTIFS('Turn Log'!$B$5:$B$5000,A157,'Turn Log'!$Y$5:$Y$5000,1))</f>
        <v/>
      </c>
      <c r="N157" s="56">
        <f>IF(A157="","",COUNTIFS('Turn Log'!$B$5:$B$5000,A157,'Turn Log'!$W$5:$W$5000,1))</f>
        <v/>
      </c>
      <c r="O157" s="56">
        <f>IF(H157="","No","Yes")</f>
        <v/>
      </c>
      <c r="P157" s="56">
        <f>IF(A157="","",COUNTIFS('Stability Checks'!$A$5:$A$2000,A157,'Stability Checks'!$C$5:$C$2000,"Re-execution",'Stability Checks'!$E$5:$E$2000,"Pass"))</f>
        <v/>
      </c>
      <c r="Q157" s="56">
        <f>IF(A157="","",COUNTIFS('Stability Checks'!$A$5:$A$2000,A157,'Stability Checks'!$C$5:$C$2000,"Re-prompt",'Stability Checks'!$E$5:$E$2000,"Pass"))</f>
        <v/>
      </c>
      <c r="R157" s="47">
        <f>IF(A157="","",'Run Plan'!Q157)</f>
        <v/>
      </c>
      <c r="S157" s="50" t="n"/>
    </row>
    <row r="158" ht="15.75" customHeight="1" s="40">
      <c r="A158" s="55">
        <f>IF('Run Plan'!A158="","",'Run Plan'!A158)</f>
        <v/>
      </c>
      <c r="B158" s="55">
        <f>IF(A158="","",'Run Plan'!C158)</f>
        <v/>
      </c>
      <c r="C158" s="55">
        <f>IF(A158="","",'Run Plan'!E158)</f>
        <v/>
      </c>
      <c r="D158" s="54">
        <f>IF(A158="","",'Run Plan'!G158)</f>
        <v/>
      </c>
      <c r="E158" s="47">
        <f>IF(A158="","",'Run Plan'!K158)</f>
        <v/>
      </c>
      <c r="F158" s="47">
        <f>IF(A158="","",'Run Plan'!J158)</f>
        <v/>
      </c>
      <c r="G158" s="56">
        <f>IF(A158="","",COUNTIF('Turn Log'!$B$5:$B$5000,A158))</f>
        <v/>
      </c>
      <c r="H158" s="56">
        <f>IF(A158="","",IFERROR(MINIFS('Turn Log'!$C$5:$C$5000,'Turn Log'!$B$5:$B$5000,A158,'Turn Log'!$Q$5:$Q$5000,"Pass"),""))</f>
        <v/>
      </c>
      <c r="I158" s="56">
        <f>IF(A158="","",IFERROR(MAXIFS('Turn Log'!$C$5:$C$5000,'Turn Log'!$B$5:$B$5000,A158),""))</f>
        <v/>
      </c>
      <c r="J158" s="56">
        <f>IF(A158="","",IFERROR(INDEX('Turn Log'!$Q$5:$Q$5000,MATCH(1,('Turn Log'!$B$5:$B$5000=A158)*('Turn Log'!$C$5:$C$5000=I158),0)),""))</f>
        <v/>
      </c>
      <c r="K158" s="56">
        <f>IF(A158="","",IFERROR(INDEX('Turn Log'!$R$5:$R$5000,MATCH(1,('Turn Log'!$B$5:$B$5000=A158)*('Turn Log'!$C$5:$C$5000=I158),0)),""))</f>
        <v/>
      </c>
      <c r="L158" s="56">
        <f>IF(A158="","",COUNTIFS('Turn Log'!$B$5:$B$5000,A158,'Turn Log'!$X$5:$X$5000,1))</f>
        <v/>
      </c>
      <c r="M158" s="56">
        <f>IF(A158="","",COUNTIFS('Turn Log'!$B$5:$B$5000,A158,'Turn Log'!$Y$5:$Y$5000,1))</f>
        <v/>
      </c>
      <c r="N158" s="56">
        <f>IF(A158="","",COUNTIFS('Turn Log'!$B$5:$B$5000,A158,'Turn Log'!$W$5:$W$5000,1))</f>
        <v/>
      </c>
      <c r="O158" s="56">
        <f>IF(H158="","No","Yes")</f>
        <v/>
      </c>
      <c r="P158" s="56">
        <f>IF(A158="","",COUNTIFS('Stability Checks'!$A$5:$A$2000,A158,'Stability Checks'!$C$5:$C$2000,"Re-execution",'Stability Checks'!$E$5:$E$2000,"Pass"))</f>
        <v/>
      </c>
      <c r="Q158" s="56">
        <f>IF(A158="","",COUNTIFS('Stability Checks'!$A$5:$A$2000,A158,'Stability Checks'!$C$5:$C$2000,"Re-prompt",'Stability Checks'!$E$5:$E$2000,"Pass"))</f>
        <v/>
      </c>
      <c r="R158" s="47">
        <f>IF(A158="","",'Run Plan'!Q158)</f>
        <v/>
      </c>
      <c r="S158" s="50" t="n"/>
    </row>
    <row r="159" ht="15.75" customHeight="1" s="40">
      <c r="A159" s="55">
        <f>IF('Run Plan'!A159="","",'Run Plan'!A159)</f>
        <v/>
      </c>
      <c r="B159" s="55">
        <f>IF(A159="","",'Run Plan'!C159)</f>
        <v/>
      </c>
      <c r="C159" s="55">
        <f>IF(A159="","",'Run Plan'!E159)</f>
        <v/>
      </c>
      <c r="D159" s="54">
        <f>IF(A159="","",'Run Plan'!G159)</f>
        <v/>
      </c>
      <c r="E159" s="47">
        <f>IF(A159="","",'Run Plan'!K159)</f>
        <v/>
      </c>
      <c r="F159" s="47">
        <f>IF(A159="","",'Run Plan'!J159)</f>
        <v/>
      </c>
      <c r="G159" s="56">
        <f>IF(A159="","",COUNTIF('Turn Log'!$B$5:$B$5000,A159))</f>
        <v/>
      </c>
      <c r="H159" s="56">
        <f>IF(A159="","",IFERROR(MINIFS('Turn Log'!$C$5:$C$5000,'Turn Log'!$B$5:$B$5000,A159,'Turn Log'!$Q$5:$Q$5000,"Pass"),""))</f>
        <v/>
      </c>
      <c r="I159" s="56">
        <f>IF(A159="","",IFERROR(MAXIFS('Turn Log'!$C$5:$C$5000,'Turn Log'!$B$5:$B$5000,A159),""))</f>
        <v/>
      </c>
      <c r="J159" s="56">
        <f>IF(A159="","",IFERROR(INDEX('Turn Log'!$Q$5:$Q$5000,MATCH(1,('Turn Log'!$B$5:$B$5000=A159)*('Turn Log'!$C$5:$C$5000=I159),0)),""))</f>
        <v/>
      </c>
      <c r="K159" s="56">
        <f>IF(A159="","",IFERROR(INDEX('Turn Log'!$R$5:$R$5000,MATCH(1,('Turn Log'!$B$5:$B$5000=A159)*('Turn Log'!$C$5:$C$5000=I159),0)),""))</f>
        <v/>
      </c>
      <c r="L159" s="56">
        <f>IF(A159="","",COUNTIFS('Turn Log'!$B$5:$B$5000,A159,'Turn Log'!$X$5:$X$5000,1))</f>
        <v/>
      </c>
      <c r="M159" s="56">
        <f>IF(A159="","",COUNTIFS('Turn Log'!$B$5:$B$5000,A159,'Turn Log'!$Y$5:$Y$5000,1))</f>
        <v/>
      </c>
      <c r="N159" s="56">
        <f>IF(A159="","",COUNTIFS('Turn Log'!$B$5:$B$5000,A159,'Turn Log'!$W$5:$W$5000,1))</f>
        <v/>
      </c>
      <c r="O159" s="56">
        <f>IF(H159="","No","Yes")</f>
        <v/>
      </c>
      <c r="P159" s="56">
        <f>IF(A159="","",COUNTIFS('Stability Checks'!$A$5:$A$2000,A159,'Stability Checks'!$C$5:$C$2000,"Re-execution",'Stability Checks'!$E$5:$E$2000,"Pass"))</f>
        <v/>
      </c>
      <c r="Q159" s="56">
        <f>IF(A159="","",COUNTIFS('Stability Checks'!$A$5:$A$2000,A159,'Stability Checks'!$C$5:$C$2000,"Re-prompt",'Stability Checks'!$E$5:$E$2000,"Pass"))</f>
        <v/>
      </c>
      <c r="R159" s="47">
        <f>IF(A159="","",'Run Plan'!Q159)</f>
        <v/>
      </c>
      <c r="S159" s="50" t="n"/>
    </row>
    <row r="160" ht="15.75" customHeight="1" s="40">
      <c r="A160" s="55">
        <f>IF('Run Plan'!A160="","",'Run Plan'!A160)</f>
        <v/>
      </c>
      <c r="B160" s="55">
        <f>IF(A160="","",'Run Plan'!C160)</f>
        <v/>
      </c>
      <c r="C160" s="55">
        <f>IF(A160="","",'Run Plan'!E160)</f>
        <v/>
      </c>
      <c r="D160" s="54">
        <f>IF(A160="","",'Run Plan'!G160)</f>
        <v/>
      </c>
      <c r="E160" s="47">
        <f>IF(A160="","",'Run Plan'!K160)</f>
        <v/>
      </c>
      <c r="F160" s="47">
        <f>IF(A160="","",'Run Plan'!J160)</f>
        <v/>
      </c>
      <c r="G160" s="56">
        <f>IF(A160="","",COUNTIF('Turn Log'!$B$5:$B$5000,A160))</f>
        <v/>
      </c>
      <c r="H160" s="56">
        <f>IF(A160="","",IFERROR(MINIFS('Turn Log'!$C$5:$C$5000,'Turn Log'!$B$5:$B$5000,A160,'Turn Log'!$Q$5:$Q$5000,"Pass"),""))</f>
        <v/>
      </c>
      <c r="I160" s="56">
        <f>IF(A160="","",IFERROR(MAXIFS('Turn Log'!$C$5:$C$5000,'Turn Log'!$B$5:$B$5000,A160),""))</f>
        <v/>
      </c>
      <c r="J160" s="56">
        <f>IF(A160="","",IFERROR(INDEX('Turn Log'!$Q$5:$Q$5000,MATCH(1,('Turn Log'!$B$5:$B$5000=A160)*('Turn Log'!$C$5:$C$5000=I160),0)),""))</f>
        <v/>
      </c>
      <c r="K160" s="56">
        <f>IF(A160="","",IFERROR(INDEX('Turn Log'!$R$5:$R$5000,MATCH(1,('Turn Log'!$B$5:$B$5000=A160)*('Turn Log'!$C$5:$C$5000=I160),0)),""))</f>
        <v/>
      </c>
      <c r="L160" s="56">
        <f>IF(A160="","",COUNTIFS('Turn Log'!$B$5:$B$5000,A160,'Turn Log'!$X$5:$X$5000,1))</f>
        <v/>
      </c>
      <c r="M160" s="56">
        <f>IF(A160="","",COUNTIFS('Turn Log'!$B$5:$B$5000,A160,'Turn Log'!$Y$5:$Y$5000,1))</f>
        <v/>
      </c>
      <c r="N160" s="56">
        <f>IF(A160="","",COUNTIFS('Turn Log'!$B$5:$B$5000,A160,'Turn Log'!$W$5:$W$5000,1))</f>
        <v/>
      </c>
      <c r="O160" s="56">
        <f>IF(H160="","No","Yes")</f>
        <v/>
      </c>
      <c r="P160" s="56">
        <f>IF(A160="","",COUNTIFS('Stability Checks'!$A$5:$A$2000,A160,'Stability Checks'!$C$5:$C$2000,"Re-execution",'Stability Checks'!$E$5:$E$2000,"Pass"))</f>
        <v/>
      </c>
      <c r="Q160" s="56">
        <f>IF(A160="","",COUNTIFS('Stability Checks'!$A$5:$A$2000,A160,'Stability Checks'!$C$5:$C$2000,"Re-prompt",'Stability Checks'!$E$5:$E$2000,"Pass"))</f>
        <v/>
      </c>
      <c r="R160" s="47">
        <f>IF(A160="","",'Run Plan'!Q160)</f>
        <v/>
      </c>
      <c r="S160" s="50" t="n"/>
    </row>
    <row r="161" ht="15.75" customHeight="1" s="40">
      <c r="A161" s="55">
        <f>IF('Run Plan'!A161="","",'Run Plan'!A161)</f>
        <v/>
      </c>
      <c r="B161" s="55">
        <f>IF(A161="","",'Run Plan'!C161)</f>
        <v/>
      </c>
      <c r="C161" s="55">
        <f>IF(A161="","",'Run Plan'!E161)</f>
        <v/>
      </c>
      <c r="D161" s="54">
        <f>IF(A161="","",'Run Plan'!G161)</f>
        <v/>
      </c>
      <c r="E161" s="47">
        <f>IF(A161="","",'Run Plan'!K161)</f>
        <v/>
      </c>
      <c r="F161" s="47">
        <f>IF(A161="","",'Run Plan'!J161)</f>
        <v/>
      </c>
      <c r="G161" s="56">
        <f>IF(A161="","",COUNTIF('Turn Log'!$B$5:$B$5000,A161))</f>
        <v/>
      </c>
      <c r="H161" s="56">
        <f>IF(A161="","",IFERROR(MINIFS('Turn Log'!$C$5:$C$5000,'Turn Log'!$B$5:$B$5000,A161,'Turn Log'!$Q$5:$Q$5000,"Pass"),""))</f>
        <v/>
      </c>
      <c r="I161" s="56">
        <f>IF(A161="","",IFERROR(MAXIFS('Turn Log'!$C$5:$C$5000,'Turn Log'!$B$5:$B$5000,A161),""))</f>
        <v/>
      </c>
      <c r="J161" s="56">
        <f>IF(A161="","",IFERROR(INDEX('Turn Log'!$Q$5:$Q$5000,MATCH(1,('Turn Log'!$B$5:$B$5000=A161)*('Turn Log'!$C$5:$C$5000=I161),0)),""))</f>
        <v/>
      </c>
      <c r="K161" s="56">
        <f>IF(A161="","",IFERROR(INDEX('Turn Log'!$R$5:$R$5000,MATCH(1,('Turn Log'!$B$5:$B$5000=A161)*('Turn Log'!$C$5:$C$5000=I161),0)),""))</f>
        <v/>
      </c>
      <c r="L161" s="56">
        <f>IF(A161="","",COUNTIFS('Turn Log'!$B$5:$B$5000,A161,'Turn Log'!$X$5:$X$5000,1))</f>
        <v/>
      </c>
      <c r="M161" s="56">
        <f>IF(A161="","",COUNTIFS('Turn Log'!$B$5:$B$5000,A161,'Turn Log'!$Y$5:$Y$5000,1))</f>
        <v/>
      </c>
      <c r="N161" s="56">
        <f>IF(A161="","",COUNTIFS('Turn Log'!$B$5:$B$5000,A161,'Turn Log'!$W$5:$W$5000,1))</f>
        <v/>
      </c>
      <c r="O161" s="56">
        <f>IF(H161="","No","Yes")</f>
        <v/>
      </c>
      <c r="P161" s="56">
        <f>IF(A161="","",COUNTIFS('Stability Checks'!$A$5:$A$2000,A161,'Stability Checks'!$C$5:$C$2000,"Re-execution",'Stability Checks'!$E$5:$E$2000,"Pass"))</f>
        <v/>
      </c>
      <c r="Q161" s="56">
        <f>IF(A161="","",COUNTIFS('Stability Checks'!$A$5:$A$2000,A161,'Stability Checks'!$C$5:$C$2000,"Re-prompt",'Stability Checks'!$E$5:$E$2000,"Pass"))</f>
        <v/>
      </c>
      <c r="R161" s="47">
        <f>IF(A161="","",'Run Plan'!Q161)</f>
        <v/>
      </c>
      <c r="S161" s="50" t="n"/>
    </row>
    <row r="162" ht="15.75" customHeight="1" s="40">
      <c r="A162" s="55">
        <f>IF('Run Plan'!A162="","",'Run Plan'!A162)</f>
        <v/>
      </c>
      <c r="B162" s="55">
        <f>IF(A162="","",'Run Plan'!C162)</f>
        <v/>
      </c>
      <c r="C162" s="55">
        <f>IF(A162="","",'Run Plan'!E162)</f>
        <v/>
      </c>
      <c r="D162" s="54">
        <f>IF(A162="","",'Run Plan'!G162)</f>
        <v/>
      </c>
      <c r="E162" s="47">
        <f>IF(A162="","",'Run Plan'!K162)</f>
        <v/>
      </c>
      <c r="F162" s="47">
        <f>IF(A162="","",'Run Plan'!J162)</f>
        <v/>
      </c>
      <c r="G162" s="56">
        <f>IF(A162="","",COUNTIF('Turn Log'!$B$5:$B$5000,A162))</f>
        <v/>
      </c>
      <c r="H162" s="56">
        <f>IF(A162="","",IFERROR(MINIFS('Turn Log'!$C$5:$C$5000,'Turn Log'!$B$5:$B$5000,A162,'Turn Log'!$Q$5:$Q$5000,"Pass"),""))</f>
        <v/>
      </c>
      <c r="I162" s="56">
        <f>IF(A162="","",IFERROR(MAXIFS('Turn Log'!$C$5:$C$5000,'Turn Log'!$B$5:$B$5000,A162),""))</f>
        <v/>
      </c>
      <c r="J162" s="56">
        <f>IF(A162="","",IFERROR(INDEX('Turn Log'!$Q$5:$Q$5000,MATCH(1,('Turn Log'!$B$5:$B$5000=A162)*('Turn Log'!$C$5:$C$5000=I162),0)),""))</f>
        <v/>
      </c>
      <c r="K162" s="56">
        <f>IF(A162="","",IFERROR(INDEX('Turn Log'!$R$5:$R$5000,MATCH(1,('Turn Log'!$B$5:$B$5000=A162)*('Turn Log'!$C$5:$C$5000=I162),0)),""))</f>
        <v/>
      </c>
      <c r="L162" s="56">
        <f>IF(A162="","",COUNTIFS('Turn Log'!$B$5:$B$5000,A162,'Turn Log'!$X$5:$X$5000,1))</f>
        <v/>
      </c>
      <c r="M162" s="56">
        <f>IF(A162="","",COUNTIFS('Turn Log'!$B$5:$B$5000,A162,'Turn Log'!$Y$5:$Y$5000,1))</f>
        <v/>
      </c>
      <c r="N162" s="56">
        <f>IF(A162="","",COUNTIFS('Turn Log'!$B$5:$B$5000,A162,'Turn Log'!$W$5:$W$5000,1))</f>
        <v/>
      </c>
      <c r="O162" s="56">
        <f>IF(H162="","No","Yes")</f>
        <v/>
      </c>
      <c r="P162" s="56">
        <f>IF(A162="","",COUNTIFS('Stability Checks'!$A$5:$A$2000,A162,'Stability Checks'!$C$5:$C$2000,"Re-execution",'Stability Checks'!$E$5:$E$2000,"Pass"))</f>
        <v/>
      </c>
      <c r="Q162" s="56">
        <f>IF(A162="","",COUNTIFS('Stability Checks'!$A$5:$A$2000,A162,'Stability Checks'!$C$5:$C$2000,"Re-prompt",'Stability Checks'!$E$5:$E$2000,"Pass"))</f>
        <v/>
      </c>
      <c r="R162" s="47">
        <f>IF(A162="","",'Run Plan'!Q162)</f>
        <v/>
      </c>
      <c r="S162" s="50" t="n"/>
    </row>
    <row r="163" ht="15.75" customHeight="1" s="40">
      <c r="A163" s="55">
        <f>IF('Run Plan'!A163="","",'Run Plan'!A163)</f>
        <v/>
      </c>
      <c r="B163" s="55">
        <f>IF(A163="","",'Run Plan'!C163)</f>
        <v/>
      </c>
      <c r="C163" s="55">
        <f>IF(A163="","",'Run Plan'!E163)</f>
        <v/>
      </c>
      <c r="D163" s="54">
        <f>IF(A163="","",'Run Plan'!G163)</f>
        <v/>
      </c>
      <c r="E163" s="47">
        <f>IF(A163="","",'Run Plan'!K163)</f>
        <v/>
      </c>
      <c r="F163" s="47">
        <f>IF(A163="","",'Run Plan'!J163)</f>
        <v/>
      </c>
      <c r="G163" s="56">
        <f>IF(A163="","",COUNTIF('Turn Log'!$B$5:$B$5000,A163))</f>
        <v/>
      </c>
      <c r="H163" s="56">
        <f>IF(A163="","",IFERROR(MINIFS('Turn Log'!$C$5:$C$5000,'Turn Log'!$B$5:$B$5000,A163,'Turn Log'!$Q$5:$Q$5000,"Pass"),""))</f>
        <v/>
      </c>
      <c r="I163" s="56">
        <f>IF(A163="","",IFERROR(MAXIFS('Turn Log'!$C$5:$C$5000,'Turn Log'!$B$5:$B$5000,A163),""))</f>
        <v/>
      </c>
      <c r="J163" s="56">
        <f>IF(A163="","",IFERROR(INDEX('Turn Log'!$Q$5:$Q$5000,MATCH(1,('Turn Log'!$B$5:$B$5000=A163)*('Turn Log'!$C$5:$C$5000=I163),0)),""))</f>
        <v/>
      </c>
      <c r="K163" s="56">
        <f>IF(A163="","",IFERROR(INDEX('Turn Log'!$R$5:$R$5000,MATCH(1,('Turn Log'!$B$5:$B$5000=A163)*('Turn Log'!$C$5:$C$5000=I163),0)),""))</f>
        <v/>
      </c>
      <c r="L163" s="56">
        <f>IF(A163="","",COUNTIFS('Turn Log'!$B$5:$B$5000,A163,'Turn Log'!$X$5:$X$5000,1))</f>
        <v/>
      </c>
      <c r="M163" s="56">
        <f>IF(A163="","",COUNTIFS('Turn Log'!$B$5:$B$5000,A163,'Turn Log'!$Y$5:$Y$5000,1))</f>
        <v/>
      </c>
      <c r="N163" s="56">
        <f>IF(A163="","",COUNTIFS('Turn Log'!$B$5:$B$5000,A163,'Turn Log'!$W$5:$W$5000,1))</f>
        <v/>
      </c>
      <c r="O163" s="56">
        <f>IF(H163="","No","Yes")</f>
        <v/>
      </c>
      <c r="P163" s="56">
        <f>IF(A163="","",COUNTIFS('Stability Checks'!$A$5:$A$2000,A163,'Stability Checks'!$C$5:$C$2000,"Re-execution",'Stability Checks'!$E$5:$E$2000,"Pass"))</f>
        <v/>
      </c>
      <c r="Q163" s="56">
        <f>IF(A163="","",COUNTIFS('Stability Checks'!$A$5:$A$2000,A163,'Stability Checks'!$C$5:$C$2000,"Re-prompt",'Stability Checks'!$E$5:$E$2000,"Pass"))</f>
        <v/>
      </c>
      <c r="R163" s="47">
        <f>IF(A163="","",'Run Plan'!Q163)</f>
        <v/>
      </c>
      <c r="S163" s="50" t="n"/>
    </row>
    <row r="164" ht="15.75" customHeight="1" s="40">
      <c r="A164" s="55">
        <f>IF('Run Plan'!A164="","",'Run Plan'!A164)</f>
        <v/>
      </c>
      <c r="B164" s="55">
        <f>IF(A164="","",'Run Plan'!C164)</f>
        <v/>
      </c>
      <c r="C164" s="55">
        <f>IF(A164="","",'Run Plan'!E164)</f>
        <v/>
      </c>
      <c r="D164" s="54">
        <f>IF(A164="","",'Run Plan'!G164)</f>
        <v/>
      </c>
      <c r="E164" s="47">
        <f>IF(A164="","",'Run Plan'!K164)</f>
        <v/>
      </c>
      <c r="F164" s="47">
        <f>IF(A164="","",'Run Plan'!J164)</f>
        <v/>
      </c>
      <c r="G164" s="56">
        <f>IF(A164="","",COUNTIF('Turn Log'!$B$5:$B$5000,A164))</f>
        <v/>
      </c>
      <c r="H164" s="56">
        <f>IF(A164="","",IFERROR(MINIFS('Turn Log'!$C$5:$C$5000,'Turn Log'!$B$5:$B$5000,A164,'Turn Log'!$Q$5:$Q$5000,"Pass"),""))</f>
        <v/>
      </c>
      <c r="I164" s="56">
        <f>IF(A164="","",IFERROR(MAXIFS('Turn Log'!$C$5:$C$5000,'Turn Log'!$B$5:$B$5000,A164),""))</f>
        <v/>
      </c>
      <c r="J164" s="56">
        <f>IF(A164="","",IFERROR(INDEX('Turn Log'!$Q$5:$Q$5000,MATCH(1,('Turn Log'!$B$5:$B$5000=A164)*('Turn Log'!$C$5:$C$5000=I164),0)),""))</f>
        <v/>
      </c>
      <c r="K164" s="56">
        <f>IF(A164="","",IFERROR(INDEX('Turn Log'!$R$5:$R$5000,MATCH(1,('Turn Log'!$B$5:$B$5000=A164)*('Turn Log'!$C$5:$C$5000=I164),0)),""))</f>
        <v/>
      </c>
      <c r="L164" s="56">
        <f>IF(A164="","",COUNTIFS('Turn Log'!$B$5:$B$5000,A164,'Turn Log'!$X$5:$X$5000,1))</f>
        <v/>
      </c>
      <c r="M164" s="56">
        <f>IF(A164="","",COUNTIFS('Turn Log'!$B$5:$B$5000,A164,'Turn Log'!$Y$5:$Y$5000,1))</f>
        <v/>
      </c>
      <c r="N164" s="56">
        <f>IF(A164="","",COUNTIFS('Turn Log'!$B$5:$B$5000,A164,'Turn Log'!$W$5:$W$5000,1))</f>
        <v/>
      </c>
      <c r="O164" s="56">
        <f>IF(H164="","No","Yes")</f>
        <v/>
      </c>
      <c r="P164" s="56">
        <f>IF(A164="","",COUNTIFS('Stability Checks'!$A$5:$A$2000,A164,'Stability Checks'!$C$5:$C$2000,"Re-execution",'Stability Checks'!$E$5:$E$2000,"Pass"))</f>
        <v/>
      </c>
      <c r="Q164" s="56">
        <f>IF(A164="","",COUNTIFS('Stability Checks'!$A$5:$A$2000,A164,'Stability Checks'!$C$5:$C$2000,"Re-prompt",'Stability Checks'!$E$5:$E$2000,"Pass"))</f>
        <v/>
      </c>
      <c r="R164" s="47">
        <f>IF(A164="","",'Run Plan'!Q164)</f>
        <v/>
      </c>
      <c r="S164" s="50" t="n"/>
    </row>
    <row r="165" ht="15.75" customHeight="1" s="40">
      <c r="A165" s="55">
        <f>IF('Run Plan'!A165="","",'Run Plan'!A165)</f>
        <v/>
      </c>
      <c r="B165" s="55">
        <f>IF(A165="","",'Run Plan'!C165)</f>
        <v/>
      </c>
      <c r="C165" s="55">
        <f>IF(A165="","",'Run Plan'!E165)</f>
        <v/>
      </c>
      <c r="D165" s="54">
        <f>IF(A165="","",'Run Plan'!G165)</f>
        <v/>
      </c>
      <c r="E165" s="47">
        <f>IF(A165="","",'Run Plan'!K165)</f>
        <v/>
      </c>
      <c r="F165" s="47">
        <f>IF(A165="","",'Run Plan'!J165)</f>
        <v/>
      </c>
      <c r="G165" s="56">
        <f>IF(A165="","",COUNTIF('Turn Log'!$B$5:$B$5000,A165))</f>
        <v/>
      </c>
      <c r="H165" s="56">
        <f>IF(A165="","",IFERROR(MINIFS('Turn Log'!$C$5:$C$5000,'Turn Log'!$B$5:$B$5000,A165,'Turn Log'!$Q$5:$Q$5000,"Pass"),""))</f>
        <v/>
      </c>
      <c r="I165" s="56">
        <f>IF(A165="","",IFERROR(MAXIFS('Turn Log'!$C$5:$C$5000,'Turn Log'!$B$5:$B$5000,A165),""))</f>
        <v/>
      </c>
      <c r="J165" s="56">
        <f>IF(A165="","",IFERROR(INDEX('Turn Log'!$Q$5:$Q$5000,MATCH(1,('Turn Log'!$B$5:$B$5000=A165)*('Turn Log'!$C$5:$C$5000=I165),0)),""))</f>
        <v/>
      </c>
      <c r="K165" s="56">
        <f>IF(A165="","",IFERROR(INDEX('Turn Log'!$R$5:$R$5000,MATCH(1,('Turn Log'!$B$5:$B$5000=A165)*('Turn Log'!$C$5:$C$5000=I165),0)),""))</f>
        <v/>
      </c>
      <c r="L165" s="56">
        <f>IF(A165="","",COUNTIFS('Turn Log'!$B$5:$B$5000,A165,'Turn Log'!$X$5:$X$5000,1))</f>
        <v/>
      </c>
      <c r="M165" s="56">
        <f>IF(A165="","",COUNTIFS('Turn Log'!$B$5:$B$5000,A165,'Turn Log'!$Y$5:$Y$5000,1))</f>
        <v/>
      </c>
      <c r="N165" s="56">
        <f>IF(A165="","",COUNTIFS('Turn Log'!$B$5:$B$5000,A165,'Turn Log'!$W$5:$W$5000,1))</f>
        <v/>
      </c>
      <c r="O165" s="56">
        <f>IF(H165="","No","Yes")</f>
        <v/>
      </c>
      <c r="P165" s="56">
        <f>IF(A165="","",COUNTIFS('Stability Checks'!$A$5:$A$2000,A165,'Stability Checks'!$C$5:$C$2000,"Re-execution",'Stability Checks'!$E$5:$E$2000,"Pass"))</f>
        <v/>
      </c>
      <c r="Q165" s="56">
        <f>IF(A165="","",COUNTIFS('Stability Checks'!$A$5:$A$2000,A165,'Stability Checks'!$C$5:$C$2000,"Re-prompt",'Stability Checks'!$E$5:$E$2000,"Pass"))</f>
        <v/>
      </c>
      <c r="R165" s="47">
        <f>IF(A165="","",'Run Plan'!Q165)</f>
        <v/>
      </c>
      <c r="S165" s="50" t="n"/>
    </row>
    <row r="166" ht="15.75" customHeight="1" s="40">
      <c r="A166" s="55">
        <f>IF('Run Plan'!A166="","",'Run Plan'!A166)</f>
        <v/>
      </c>
      <c r="B166" s="55">
        <f>IF(A166="","",'Run Plan'!C166)</f>
        <v/>
      </c>
      <c r="C166" s="55">
        <f>IF(A166="","",'Run Plan'!E166)</f>
        <v/>
      </c>
      <c r="D166" s="54">
        <f>IF(A166="","",'Run Plan'!G166)</f>
        <v/>
      </c>
      <c r="E166" s="47">
        <f>IF(A166="","",'Run Plan'!K166)</f>
        <v/>
      </c>
      <c r="F166" s="47">
        <f>IF(A166="","",'Run Plan'!J166)</f>
        <v/>
      </c>
      <c r="G166" s="56">
        <f>IF(A166="","",COUNTIF('Turn Log'!$B$5:$B$5000,A166))</f>
        <v/>
      </c>
      <c r="H166" s="56">
        <f>IF(A166="","",IFERROR(MINIFS('Turn Log'!$C$5:$C$5000,'Turn Log'!$B$5:$B$5000,A166,'Turn Log'!$Q$5:$Q$5000,"Pass"),""))</f>
        <v/>
      </c>
      <c r="I166" s="56">
        <f>IF(A166="","",IFERROR(MAXIFS('Turn Log'!$C$5:$C$5000,'Turn Log'!$B$5:$B$5000,A166),""))</f>
        <v/>
      </c>
      <c r="J166" s="56">
        <f>IF(A166="","",IFERROR(INDEX('Turn Log'!$Q$5:$Q$5000,MATCH(1,('Turn Log'!$B$5:$B$5000=A166)*('Turn Log'!$C$5:$C$5000=I166),0)),""))</f>
        <v/>
      </c>
      <c r="K166" s="56">
        <f>IF(A166="","",IFERROR(INDEX('Turn Log'!$R$5:$R$5000,MATCH(1,('Turn Log'!$B$5:$B$5000=A166)*('Turn Log'!$C$5:$C$5000=I166),0)),""))</f>
        <v/>
      </c>
      <c r="L166" s="56">
        <f>IF(A166="","",COUNTIFS('Turn Log'!$B$5:$B$5000,A166,'Turn Log'!$X$5:$X$5000,1))</f>
        <v/>
      </c>
      <c r="M166" s="56">
        <f>IF(A166="","",COUNTIFS('Turn Log'!$B$5:$B$5000,A166,'Turn Log'!$Y$5:$Y$5000,1))</f>
        <v/>
      </c>
      <c r="N166" s="56">
        <f>IF(A166="","",COUNTIFS('Turn Log'!$B$5:$B$5000,A166,'Turn Log'!$W$5:$W$5000,1))</f>
        <v/>
      </c>
      <c r="O166" s="56">
        <f>IF(H166="","No","Yes")</f>
        <v/>
      </c>
      <c r="P166" s="56">
        <f>IF(A166="","",COUNTIFS('Stability Checks'!$A$5:$A$2000,A166,'Stability Checks'!$C$5:$C$2000,"Re-execution",'Stability Checks'!$E$5:$E$2000,"Pass"))</f>
        <v/>
      </c>
      <c r="Q166" s="56">
        <f>IF(A166="","",COUNTIFS('Stability Checks'!$A$5:$A$2000,A166,'Stability Checks'!$C$5:$C$2000,"Re-prompt",'Stability Checks'!$E$5:$E$2000,"Pass"))</f>
        <v/>
      </c>
      <c r="R166" s="47">
        <f>IF(A166="","",'Run Plan'!Q166)</f>
        <v/>
      </c>
      <c r="S166" s="50" t="n"/>
    </row>
    <row r="167" ht="15.75" customHeight="1" s="40">
      <c r="A167" s="55">
        <f>IF('Run Plan'!A167="","",'Run Plan'!A167)</f>
        <v/>
      </c>
      <c r="B167" s="55">
        <f>IF(A167="","",'Run Plan'!C167)</f>
        <v/>
      </c>
      <c r="C167" s="55">
        <f>IF(A167="","",'Run Plan'!E167)</f>
        <v/>
      </c>
      <c r="D167" s="54">
        <f>IF(A167="","",'Run Plan'!G167)</f>
        <v/>
      </c>
      <c r="E167" s="47">
        <f>IF(A167="","",'Run Plan'!K167)</f>
        <v/>
      </c>
      <c r="F167" s="47">
        <f>IF(A167="","",'Run Plan'!J167)</f>
        <v/>
      </c>
      <c r="G167" s="56">
        <f>IF(A167="","",COUNTIF('Turn Log'!$B$5:$B$5000,A167))</f>
        <v/>
      </c>
      <c r="H167" s="56">
        <f>IF(A167="","",IFERROR(MINIFS('Turn Log'!$C$5:$C$5000,'Turn Log'!$B$5:$B$5000,A167,'Turn Log'!$Q$5:$Q$5000,"Pass"),""))</f>
        <v/>
      </c>
      <c r="I167" s="56">
        <f>IF(A167="","",IFERROR(MAXIFS('Turn Log'!$C$5:$C$5000,'Turn Log'!$B$5:$B$5000,A167),""))</f>
        <v/>
      </c>
      <c r="J167" s="56">
        <f>IF(A167="","",IFERROR(INDEX('Turn Log'!$Q$5:$Q$5000,MATCH(1,('Turn Log'!$B$5:$B$5000=A167)*('Turn Log'!$C$5:$C$5000=I167),0)),""))</f>
        <v/>
      </c>
      <c r="K167" s="56">
        <f>IF(A167="","",IFERROR(INDEX('Turn Log'!$R$5:$R$5000,MATCH(1,('Turn Log'!$B$5:$B$5000=A167)*('Turn Log'!$C$5:$C$5000=I167),0)),""))</f>
        <v/>
      </c>
      <c r="L167" s="56">
        <f>IF(A167="","",COUNTIFS('Turn Log'!$B$5:$B$5000,A167,'Turn Log'!$X$5:$X$5000,1))</f>
        <v/>
      </c>
      <c r="M167" s="56">
        <f>IF(A167="","",COUNTIFS('Turn Log'!$B$5:$B$5000,A167,'Turn Log'!$Y$5:$Y$5000,1))</f>
        <v/>
      </c>
      <c r="N167" s="56">
        <f>IF(A167="","",COUNTIFS('Turn Log'!$B$5:$B$5000,A167,'Turn Log'!$W$5:$W$5000,1))</f>
        <v/>
      </c>
      <c r="O167" s="56">
        <f>IF(H167="","No","Yes")</f>
        <v/>
      </c>
      <c r="P167" s="56">
        <f>IF(A167="","",COUNTIFS('Stability Checks'!$A$5:$A$2000,A167,'Stability Checks'!$C$5:$C$2000,"Re-execution",'Stability Checks'!$E$5:$E$2000,"Pass"))</f>
        <v/>
      </c>
      <c r="Q167" s="56">
        <f>IF(A167="","",COUNTIFS('Stability Checks'!$A$5:$A$2000,A167,'Stability Checks'!$C$5:$C$2000,"Re-prompt",'Stability Checks'!$E$5:$E$2000,"Pass"))</f>
        <v/>
      </c>
      <c r="R167" s="47">
        <f>IF(A167="","",'Run Plan'!Q167)</f>
        <v/>
      </c>
      <c r="S167" s="50" t="n"/>
    </row>
    <row r="168" ht="15.75" customHeight="1" s="40">
      <c r="A168" s="55">
        <f>IF('Run Plan'!A168="","",'Run Plan'!A168)</f>
        <v/>
      </c>
      <c r="B168" s="55">
        <f>IF(A168="","",'Run Plan'!C168)</f>
        <v/>
      </c>
      <c r="C168" s="55">
        <f>IF(A168="","",'Run Plan'!E168)</f>
        <v/>
      </c>
      <c r="D168" s="54">
        <f>IF(A168="","",'Run Plan'!G168)</f>
        <v/>
      </c>
      <c r="E168" s="47">
        <f>IF(A168="","",'Run Plan'!K168)</f>
        <v/>
      </c>
      <c r="F168" s="47">
        <f>IF(A168="","",'Run Plan'!J168)</f>
        <v/>
      </c>
      <c r="G168" s="56">
        <f>IF(A168="","",COUNTIF('Turn Log'!$B$5:$B$5000,A168))</f>
        <v/>
      </c>
      <c r="H168" s="56">
        <f>IF(A168="","",IFERROR(MINIFS('Turn Log'!$C$5:$C$5000,'Turn Log'!$B$5:$B$5000,A168,'Turn Log'!$Q$5:$Q$5000,"Pass"),""))</f>
        <v/>
      </c>
      <c r="I168" s="56">
        <f>IF(A168="","",IFERROR(MAXIFS('Turn Log'!$C$5:$C$5000,'Turn Log'!$B$5:$B$5000,A168),""))</f>
        <v/>
      </c>
      <c r="J168" s="56">
        <f>IF(A168="","",IFERROR(INDEX('Turn Log'!$Q$5:$Q$5000,MATCH(1,('Turn Log'!$B$5:$B$5000=A168)*('Turn Log'!$C$5:$C$5000=I168),0)),""))</f>
        <v/>
      </c>
      <c r="K168" s="56">
        <f>IF(A168="","",IFERROR(INDEX('Turn Log'!$R$5:$R$5000,MATCH(1,('Turn Log'!$B$5:$B$5000=A168)*('Turn Log'!$C$5:$C$5000=I168),0)),""))</f>
        <v/>
      </c>
      <c r="L168" s="56">
        <f>IF(A168="","",COUNTIFS('Turn Log'!$B$5:$B$5000,A168,'Turn Log'!$X$5:$X$5000,1))</f>
        <v/>
      </c>
      <c r="M168" s="56">
        <f>IF(A168="","",COUNTIFS('Turn Log'!$B$5:$B$5000,A168,'Turn Log'!$Y$5:$Y$5000,1))</f>
        <v/>
      </c>
      <c r="N168" s="56">
        <f>IF(A168="","",COUNTIFS('Turn Log'!$B$5:$B$5000,A168,'Turn Log'!$W$5:$W$5000,1))</f>
        <v/>
      </c>
      <c r="O168" s="56">
        <f>IF(H168="","No","Yes")</f>
        <v/>
      </c>
      <c r="P168" s="56">
        <f>IF(A168="","",COUNTIFS('Stability Checks'!$A$5:$A$2000,A168,'Stability Checks'!$C$5:$C$2000,"Re-execution",'Stability Checks'!$E$5:$E$2000,"Pass"))</f>
        <v/>
      </c>
      <c r="Q168" s="56">
        <f>IF(A168="","",COUNTIFS('Stability Checks'!$A$5:$A$2000,A168,'Stability Checks'!$C$5:$C$2000,"Re-prompt",'Stability Checks'!$E$5:$E$2000,"Pass"))</f>
        <v/>
      </c>
      <c r="R168" s="47">
        <f>IF(A168="","",'Run Plan'!Q168)</f>
        <v/>
      </c>
      <c r="S168" s="50" t="n"/>
    </row>
    <row r="169" ht="15.75" customHeight="1" s="40">
      <c r="A169" s="55">
        <f>IF('Run Plan'!A169="","",'Run Plan'!A169)</f>
        <v/>
      </c>
      <c r="B169" s="55">
        <f>IF(A169="","",'Run Plan'!C169)</f>
        <v/>
      </c>
      <c r="C169" s="55">
        <f>IF(A169="","",'Run Plan'!E169)</f>
        <v/>
      </c>
      <c r="D169" s="54">
        <f>IF(A169="","",'Run Plan'!G169)</f>
        <v/>
      </c>
      <c r="E169" s="47">
        <f>IF(A169="","",'Run Plan'!K169)</f>
        <v/>
      </c>
      <c r="F169" s="47">
        <f>IF(A169="","",'Run Plan'!J169)</f>
        <v/>
      </c>
      <c r="G169" s="56">
        <f>IF(A169="","",COUNTIF('Turn Log'!$B$5:$B$5000,A169))</f>
        <v/>
      </c>
      <c r="H169" s="56">
        <f>IF(A169="","",IFERROR(MINIFS('Turn Log'!$C$5:$C$5000,'Turn Log'!$B$5:$B$5000,A169,'Turn Log'!$Q$5:$Q$5000,"Pass"),""))</f>
        <v/>
      </c>
      <c r="I169" s="56">
        <f>IF(A169="","",IFERROR(MAXIFS('Turn Log'!$C$5:$C$5000,'Turn Log'!$B$5:$B$5000,A169),""))</f>
        <v/>
      </c>
      <c r="J169" s="56">
        <f>IF(A169="","",IFERROR(INDEX('Turn Log'!$Q$5:$Q$5000,MATCH(1,('Turn Log'!$B$5:$B$5000=A169)*('Turn Log'!$C$5:$C$5000=I169),0)),""))</f>
        <v/>
      </c>
      <c r="K169" s="56">
        <f>IF(A169="","",IFERROR(INDEX('Turn Log'!$R$5:$R$5000,MATCH(1,('Turn Log'!$B$5:$B$5000=A169)*('Turn Log'!$C$5:$C$5000=I169),0)),""))</f>
        <v/>
      </c>
      <c r="L169" s="56">
        <f>IF(A169="","",COUNTIFS('Turn Log'!$B$5:$B$5000,A169,'Turn Log'!$X$5:$X$5000,1))</f>
        <v/>
      </c>
      <c r="M169" s="56">
        <f>IF(A169="","",COUNTIFS('Turn Log'!$B$5:$B$5000,A169,'Turn Log'!$Y$5:$Y$5000,1))</f>
        <v/>
      </c>
      <c r="N169" s="56">
        <f>IF(A169="","",COUNTIFS('Turn Log'!$B$5:$B$5000,A169,'Turn Log'!$W$5:$W$5000,1))</f>
        <v/>
      </c>
      <c r="O169" s="56">
        <f>IF(H169="","No","Yes")</f>
        <v/>
      </c>
      <c r="P169" s="56">
        <f>IF(A169="","",COUNTIFS('Stability Checks'!$A$5:$A$2000,A169,'Stability Checks'!$C$5:$C$2000,"Re-execution",'Stability Checks'!$E$5:$E$2000,"Pass"))</f>
        <v/>
      </c>
      <c r="Q169" s="56">
        <f>IF(A169="","",COUNTIFS('Stability Checks'!$A$5:$A$2000,A169,'Stability Checks'!$C$5:$C$2000,"Re-prompt",'Stability Checks'!$E$5:$E$2000,"Pass"))</f>
        <v/>
      </c>
      <c r="R169" s="47">
        <f>IF(A169="","",'Run Plan'!Q169)</f>
        <v/>
      </c>
      <c r="S169" s="50" t="n"/>
    </row>
    <row r="170" ht="15.75" customHeight="1" s="40">
      <c r="A170" s="55">
        <f>IF('Run Plan'!A170="","",'Run Plan'!A170)</f>
        <v/>
      </c>
      <c r="B170" s="55">
        <f>IF(A170="","",'Run Plan'!C170)</f>
        <v/>
      </c>
      <c r="C170" s="55">
        <f>IF(A170="","",'Run Plan'!E170)</f>
        <v/>
      </c>
      <c r="D170" s="54">
        <f>IF(A170="","",'Run Plan'!G170)</f>
        <v/>
      </c>
      <c r="E170" s="47">
        <f>IF(A170="","",'Run Plan'!K170)</f>
        <v/>
      </c>
      <c r="F170" s="47">
        <f>IF(A170="","",'Run Plan'!J170)</f>
        <v/>
      </c>
      <c r="G170" s="56">
        <f>IF(A170="","",COUNTIF('Turn Log'!$B$5:$B$5000,A170))</f>
        <v/>
      </c>
      <c r="H170" s="56">
        <f>IF(A170="","",IFERROR(MINIFS('Turn Log'!$C$5:$C$5000,'Turn Log'!$B$5:$B$5000,A170,'Turn Log'!$Q$5:$Q$5000,"Pass"),""))</f>
        <v/>
      </c>
      <c r="I170" s="56">
        <f>IF(A170="","",IFERROR(MAXIFS('Turn Log'!$C$5:$C$5000,'Turn Log'!$B$5:$B$5000,A170),""))</f>
        <v/>
      </c>
      <c r="J170" s="56">
        <f>IF(A170="","",IFERROR(INDEX('Turn Log'!$Q$5:$Q$5000,MATCH(1,('Turn Log'!$B$5:$B$5000=A170)*('Turn Log'!$C$5:$C$5000=I170),0)),""))</f>
        <v/>
      </c>
      <c r="K170" s="56">
        <f>IF(A170="","",IFERROR(INDEX('Turn Log'!$R$5:$R$5000,MATCH(1,('Turn Log'!$B$5:$B$5000=A170)*('Turn Log'!$C$5:$C$5000=I170),0)),""))</f>
        <v/>
      </c>
      <c r="L170" s="56">
        <f>IF(A170="","",COUNTIFS('Turn Log'!$B$5:$B$5000,A170,'Turn Log'!$X$5:$X$5000,1))</f>
        <v/>
      </c>
      <c r="M170" s="56">
        <f>IF(A170="","",COUNTIFS('Turn Log'!$B$5:$B$5000,A170,'Turn Log'!$Y$5:$Y$5000,1))</f>
        <v/>
      </c>
      <c r="N170" s="56">
        <f>IF(A170="","",COUNTIFS('Turn Log'!$B$5:$B$5000,A170,'Turn Log'!$W$5:$W$5000,1))</f>
        <v/>
      </c>
      <c r="O170" s="56">
        <f>IF(H170="","No","Yes")</f>
        <v/>
      </c>
      <c r="P170" s="56">
        <f>IF(A170="","",COUNTIFS('Stability Checks'!$A$5:$A$2000,A170,'Stability Checks'!$C$5:$C$2000,"Re-execution",'Stability Checks'!$E$5:$E$2000,"Pass"))</f>
        <v/>
      </c>
      <c r="Q170" s="56">
        <f>IF(A170="","",COUNTIFS('Stability Checks'!$A$5:$A$2000,A170,'Stability Checks'!$C$5:$C$2000,"Re-prompt",'Stability Checks'!$E$5:$E$2000,"Pass"))</f>
        <v/>
      </c>
      <c r="R170" s="47">
        <f>IF(A170="","",'Run Plan'!Q170)</f>
        <v/>
      </c>
      <c r="S170" s="50" t="n"/>
    </row>
    <row r="171" ht="15.75" customHeight="1" s="40">
      <c r="A171" s="55">
        <f>IF('Run Plan'!A171="","",'Run Plan'!A171)</f>
        <v/>
      </c>
      <c r="B171" s="55">
        <f>IF(A171="","",'Run Plan'!C171)</f>
        <v/>
      </c>
      <c r="C171" s="55">
        <f>IF(A171="","",'Run Plan'!E171)</f>
        <v/>
      </c>
      <c r="D171" s="54">
        <f>IF(A171="","",'Run Plan'!G171)</f>
        <v/>
      </c>
      <c r="E171" s="47">
        <f>IF(A171="","",'Run Plan'!K171)</f>
        <v/>
      </c>
      <c r="F171" s="47">
        <f>IF(A171="","",'Run Plan'!J171)</f>
        <v/>
      </c>
      <c r="G171" s="56">
        <f>IF(A171="","",COUNTIF('Turn Log'!$B$5:$B$5000,A171))</f>
        <v/>
      </c>
      <c r="H171" s="56">
        <f>IF(A171="","",IFERROR(MINIFS('Turn Log'!$C$5:$C$5000,'Turn Log'!$B$5:$B$5000,A171,'Turn Log'!$Q$5:$Q$5000,"Pass"),""))</f>
        <v/>
      </c>
      <c r="I171" s="56">
        <f>IF(A171="","",IFERROR(MAXIFS('Turn Log'!$C$5:$C$5000,'Turn Log'!$B$5:$B$5000,A171),""))</f>
        <v/>
      </c>
      <c r="J171" s="56">
        <f>IF(A171="","",IFERROR(INDEX('Turn Log'!$Q$5:$Q$5000,MATCH(1,('Turn Log'!$B$5:$B$5000=A171)*('Turn Log'!$C$5:$C$5000=I171),0)),""))</f>
        <v/>
      </c>
      <c r="K171" s="56">
        <f>IF(A171="","",IFERROR(INDEX('Turn Log'!$R$5:$R$5000,MATCH(1,('Turn Log'!$B$5:$B$5000=A171)*('Turn Log'!$C$5:$C$5000=I171),0)),""))</f>
        <v/>
      </c>
      <c r="L171" s="56">
        <f>IF(A171="","",COUNTIFS('Turn Log'!$B$5:$B$5000,A171,'Turn Log'!$X$5:$X$5000,1))</f>
        <v/>
      </c>
      <c r="M171" s="56">
        <f>IF(A171="","",COUNTIFS('Turn Log'!$B$5:$B$5000,A171,'Turn Log'!$Y$5:$Y$5000,1))</f>
        <v/>
      </c>
      <c r="N171" s="56">
        <f>IF(A171="","",COUNTIFS('Turn Log'!$B$5:$B$5000,A171,'Turn Log'!$W$5:$W$5000,1))</f>
        <v/>
      </c>
      <c r="O171" s="56">
        <f>IF(H171="","No","Yes")</f>
        <v/>
      </c>
      <c r="P171" s="56">
        <f>IF(A171="","",COUNTIFS('Stability Checks'!$A$5:$A$2000,A171,'Stability Checks'!$C$5:$C$2000,"Re-execution",'Stability Checks'!$E$5:$E$2000,"Pass"))</f>
        <v/>
      </c>
      <c r="Q171" s="56">
        <f>IF(A171="","",COUNTIFS('Stability Checks'!$A$5:$A$2000,A171,'Stability Checks'!$C$5:$C$2000,"Re-prompt",'Stability Checks'!$E$5:$E$2000,"Pass"))</f>
        <v/>
      </c>
      <c r="R171" s="47">
        <f>IF(A171="","",'Run Plan'!Q171)</f>
        <v/>
      </c>
      <c r="S171" s="50" t="n"/>
    </row>
    <row r="172" ht="15.75" customHeight="1" s="40">
      <c r="A172" s="55">
        <f>IF('Run Plan'!A172="","",'Run Plan'!A172)</f>
        <v/>
      </c>
      <c r="B172" s="55">
        <f>IF(A172="","",'Run Plan'!C172)</f>
        <v/>
      </c>
      <c r="C172" s="55">
        <f>IF(A172="","",'Run Plan'!E172)</f>
        <v/>
      </c>
      <c r="D172" s="54">
        <f>IF(A172="","",'Run Plan'!G172)</f>
        <v/>
      </c>
      <c r="E172" s="47">
        <f>IF(A172="","",'Run Plan'!K172)</f>
        <v/>
      </c>
      <c r="F172" s="47">
        <f>IF(A172="","",'Run Plan'!J172)</f>
        <v/>
      </c>
      <c r="G172" s="56">
        <f>IF(A172="","",COUNTIF('Turn Log'!$B$5:$B$5000,A172))</f>
        <v/>
      </c>
      <c r="H172" s="56">
        <f>IF(A172="","",IFERROR(MINIFS('Turn Log'!$C$5:$C$5000,'Turn Log'!$B$5:$B$5000,A172,'Turn Log'!$Q$5:$Q$5000,"Pass"),""))</f>
        <v/>
      </c>
      <c r="I172" s="56">
        <f>IF(A172="","",IFERROR(MAXIFS('Turn Log'!$C$5:$C$5000,'Turn Log'!$B$5:$B$5000,A172),""))</f>
        <v/>
      </c>
      <c r="J172" s="56">
        <f>IF(A172="","",IFERROR(INDEX('Turn Log'!$Q$5:$Q$5000,MATCH(1,('Turn Log'!$B$5:$B$5000=A172)*('Turn Log'!$C$5:$C$5000=I172),0)),""))</f>
        <v/>
      </c>
      <c r="K172" s="56">
        <f>IF(A172="","",IFERROR(INDEX('Turn Log'!$R$5:$R$5000,MATCH(1,('Turn Log'!$B$5:$B$5000=A172)*('Turn Log'!$C$5:$C$5000=I172),0)),""))</f>
        <v/>
      </c>
      <c r="L172" s="56">
        <f>IF(A172="","",COUNTIFS('Turn Log'!$B$5:$B$5000,A172,'Turn Log'!$X$5:$X$5000,1))</f>
        <v/>
      </c>
      <c r="M172" s="56">
        <f>IF(A172="","",COUNTIFS('Turn Log'!$B$5:$B$5000,A172,'Turn Log'!$Y$5:$Y$5000,1))</f>
        <v/>
      </c>
      <c r="N172" s="56">
        <f>IF(A172="","",COUNTIFS('Turn Log'!$B$5:$B$5000,A172,'Turn Log'!$W$5:$W$5000,1))</f>
        <v/>
      </c>
      <c r="O172" s="56">
        <f>IF(H172="","No","Yes")</f>
        <v/>
      </c>
      <c r="P172" s="56">
        <f>IF(A172="","",COUNTIFS('Stability Checks'!$A$5:$A$2000,A172,'Stability Checks'!$C$5:$C$2000,"Re-execution",'Stability Checks'!$E$5:$E$2000,"Pass"))</f>
        <v/>
      </c>
      <c r="Q172" s="56">
        <f>IF(A172="","",COUNTIFS('Stability Checks'!$A$5:$A$2000,A172,'Stability Checks'!$C$5:$C$2000,"Re-prompt",'Stability Checks'!$E$5:$E$2000,"Pass"))</f>
        <v/>
      </c>
      <c r="R172" s="47">
        <f>IF(A172="","",'Run Plan'!Q172)</f>
        <v/>
      </c>
      <c r="S172" s="50" t="n"/>
    </row>
    <row r="173" ht="15.75" customHeight="1" s="40">
      <c r="A173" s="55">
        <f>IF('Run Plan'!A173="","",'Run Plan'!A173)</f>
        <v/>
      </c>
      <c r="B173" s="55">
        <f>IF(A173="","",'Run Plan'!C173)</f>
        <v/>
      </c>
      <c r="C173" s="55">
        <f>IF(A173="","",'Run Plan'!E173)</f>
        <v/>
      </c>
      <c r="D173" s="54">
        <f>IF(A173="","",'Run Plan'!G173)</f>
        <v/>
      </c>
      <c r="E173" s="47">
        <f>IF(A173="","",'Run Plan'!K173)</f>
        <v/>
      </c>
      <c r="F173" s="47">
        <f>IF(A173="","",'Run Plan'!J173)</f>
        <v/>
      </c>
      <c r="G173" s="56">
        <f>IF(A173="","",COUNTIF('Turn Log'!$B$5:$B$5000,A173))</f>
        <v/>
      </c>
      <c r="H173" s="56">
        <f>IF(A173="","",IFERROR(MINIFS('Turn Log'!$C$5:$C$5000,'Turn Log'!$B$5:$B$5000,A173,'Turn Log'!$Q$5:$Q$5000,"Pass"),""))</f>
        <v/>
      </c>
      <c r="I173" s="56">
        <f>IF(A173="","",IFERROR(MAXIFS('Turn Log'!$C$5:$C$5000,'Turn Log'!$B$5:$B$5000,A173),""))</f>
        <v/>
      </c>
      <c r="J173" s="56">
        <f>IF(A173="","",IFERROR(INDEX('Turn Log'!$Q$5:$Q$5000,MATCH(1,('Turn Log'!$B$5:$B$5000=A173)*('Turn Log'!$C$5:$C$5000=I173),0)),""))</f>
        <v/>
      </c>
      <c r="K173" s="56">
        <f>IF(A173="","",IFERROR(INDEX('Turn Log'!$R$5:$R$5000,MATCH(1,('Turn Log'!$B$5:$B$5000=A173)*('Turn Log'!$C$5:$C$5000=I173),0)),""))</f>
        <v/>
      </c>
      <c r="L173" s="56">
        <f>IF(A173="","",COUNTIFS('Turn Log'!$B$5:$B$5000,A173,'Turn Log'!$X$5:$X$5000,1))</f>
        <v/>
      </c>
      <c r="M173" s="56">
        <f>IF(A173="","",COUNTIFS('Turn Log'!$B$5:$B$5000,A173,'Turn Log'!$Y$5:$Y$5000,1))</f>
        <v/>
      </c>
      <c r="N173" s="56">
        <f>IF(A173="","",COUNTIFS('Turn Log'!$B$5:$B$5000,A173,'Turn Log'!$W$5:$W$5000,1))</f>
        <v/>
      </c>
      <c r="O173" s="56">
        <f>IF(H173="","No","Yes")</f>
        <v/>
      </c>
      <c r="P173" s="56">
        <f>IF(A173="","",COUNTIFS('Stability Checks'!$A$5:$A$2000,A173,'Stability Checks'!$C$5:$C$2000,"Re-execution",'Stability Checks'!$E$5:$E$2000,"Pass"))</f>
        <v/>
      </c>
      <c r="Q173" s="56">
        <f>IF(A173="","",COUNTIFS('Stability Checks'!$A$5:$A$2000,A173,'Stability Checks'!$C$5:$C$2000,"Re-prompt",'Stability Checks'!$E$5:$E$2000,"Pass"))</f>
        <v/>
      </c>
      <c r="R173" s="47">
        <f>IF(A173="","",'Run Plan'!Q173)</f>
        <v/>
      </c>
      <c r="S173" s="50" t="n"/>
    </row>
    <row r="174" ht="15.75" customHeight="1" s="40">
      <c r="A174" s="55">
        <f>IF('Run Plan'!A174="","",'Run Plan'!A174)</f>
        <v/>
      </c>
      <c r="B174" s="55">
        <f>IF(A174="","",'Run Plan'!C174)</f>
        <v/>
      </c>
      <c r="C174" s="55">
        <f>IF(A174="","",'Run Plan'!E174)</f>
        <v/>
      </c>
      <c r="D174" s="54">
        <f>IF(A174="","",'Run Plan'!G174)</f>
        <v/>
      </c>
      <c r="E174" s="47">
        <f>IF(A174="","",'Run Plan'!K174)</f>
        <v/>
      </c>
      <c r="F174" s="47">
        <f>IF(A174="","",'Run Plan'!J174)</f>
        <v/>
      </c>
      <c r="G174" s="56">
        <f>IF(A174="","",COUNTIF('Turn Log'!$B$5:$B$5000,A174))</f>
        <v/>
      </c>
      <c r="H174" s="56">
        <f>IF(A174="","",IFERROR(MINIFS('Turn Log'!$C$5:$C$5000,'Turn Log'!$B$5:$B$5000,A174,'Turn Log'!$Q$5:$Q$5000,"Pass"),""))</f>
        <v/>
      </c>
      <c r="I174" s="56">
        <f>IF(A174="","",IFERROR(MAXIFS('Turn Log'!$C$5:$C$5000,'Turn Log'!$B$5:$B$5000,A174),""))</f>
        <v/>
      </c>
      <c r="J174" s="56">
        <f>IF(A174="","",IFERROR(INDEX('Turn Log'!$Q$5:$Q$5000,MATCH(1,('Turn Log'!$B$5:$B$5000=A174)*('Turn Log'!$C$5:$C$5000=I174),0)),""))</f>
        <v/>
      </c>
      <c r="K174" s="56">
        <f>IF(A174="","",IFERROR(INDEX('Turn Log'!$R$5:$R$5000,MATCH(1,('Turn Log'!$B$5:$B$5000=A174)*('Turn Log'!$C$5:$C$5000=I174),0)),""))</f>
        <v/>
      </c>
      <c r="L174" s="56">
        <f>IF(A174="","",COUNTIFS('Turn Log'!$B$5:$B$5000,A174,'Turn Log'!$X$5:$X$5000,1))</f>
        <v/>
      </c>
      <c r="M174" s="56">
        <f>IF(A174="","",COUNTIFS('Turn Log'!$B$5:$B$5000,A174,'Turn Log'!$Y$5:$Y$5000,1))</f>
        <v/>
      </c>
      <c r="N174" s="56">
        <f>IF(A174="","",COUNTIFS('Turn Log'!$B$5:$B$5000,A174,'Turn Log'!$W$5:$W$5000,1))</f>
        <v/>
      </c>
      <c r="O174" s="56">
        <f>IF(H174="","No","Yes")</f>
        <v/>
      </c>
      <c r="P174" s="56">
        <f>IF(A174="","",COUNTIFS('Stability Checks'!$A$5:$A$2000,A174,'Stability Checks'!$C$5:$C$2000,"Re-execution",'Stability Checks'!$E$5:$E$2000,"Pass"))</f>
        <v/>
      </c>
      <c r="Q174" s="56">
        <f>IF(A174="","",COUNTIFS('Stability Checks'!$A$5:$A$2000,A174,'Stability Checks'!$C$5:$C$2000,"Re-prompt",'Stability Checks'!$E$5:$E$2000,"Pass"))</f>
        <v/>
      </c>
      <c r="R174" s="47">
        <f>IF(A174="","",'Run Plan'!Q174)</f>
        <v/>
      </c>
      <c r="S174" s="50" t="n"/>
    </row>
    <row r="175" ht="15.75" customHeight="1" s="40">
      <c r="A175" s="55">
        <f>IF('Run Plan'!A175="","",'Run Plan'!A175)</f>
        <v/>
      </c>
      <c r="B175" s="55">
        <f>IF(A175="","",'Run Plan'!C175)</f>
        <v/>
      </c>
      <c r="C175" s="55">
        <f>IF(A175="","",'Run Plan'!E175)</f>
        <v/>
      </c>
      <c r="D175" s="54">
        <f>IF(A175="","",'Run Plan'!G175)</f>
        <v/>
      </c>
      <c r="E175" s="47">
        <f>IF(A175="","",'Run Plan'!K175)</f>
        <v/>
      </c>
      <c r="F175" s="47">
        <f>IF(A175="","",'Run Plan'!J175)</f>
        <v/>
      </c>
      <c r="G175" s="56">
        <f>IF(A175="","",COUNTIF('Turn Log'!$B$5:$B$5000,A175))</f>
        <v/>
      </c>
      <c r="H175" s="56">
        <f>IF(A175="","",IFERROR(MINIFS('Turn Log'!$C$5:$C$5000,'Turn Log'!$B$5:$B$5000,A175,'Turn Log'!$Q$5:$Q$5000,"Pass"),""))</f>
        <v/>
      </c>
      <c r="I175" s="56">
        <f>IF(A175="","",IFERROR(MAXIFS('Turn Log'!$C$5:$C$5000,'Turn Log'!$B$5:$B$5000,A175),""))</f>
        <v/>
      </c>
      <c r="J175" s="56">
        <f>IF(A175="","",IFERROR(INDEX('Turn Log'!$Q$5:$Q$5000,MATCH(1,('Turn Log'!$B$5:$B$5000=A175)*('Turn Log'!$C$5:$C$5000=I175),0)),""))</f>
        <v/>
      </c>
      <c r="K175" s="56">
        <f>IF(A175="","",IFERROR(INDEX('Turn Log'!$R$5:$R$5000,MATCH(1,('Turn Log'!$B$5:$B$5000=A175)*('Turn Log'!$C$5:$C$5000=I175),0)),""))</f>
        <v/>
      </c>
      <c r="L175" s="56">
        <f>IF(A175="","",COUNTIFS('Turn Log'!$B$5:$B$5000,A175,'Turn Log'!$X$5:$X$5000,1))</f>
        <v/>
      </c>
      <c r="M175" s="56">
        <f>IF(A175="","",COUNTIFS('Turn Log'!$B$5:$B$5000,A175,'Turn Log'!$Y$5:$Y$5000,1))</f>
        <v/>
      </c>
      <c r="N175" s="56">
        <f>IF(A175="","",COUNTIFS('Turn Log'!$B$5:$B$5000,A175,'Turn Log'!$W$5:$W$5000,1))</f>
        <v/>
      </c>
      <c r="O175" s="56">
        <f>IF(H175="","No","Yes")</f>
        <v/>
      </c>
      <c r="P175" s="56">
        <f>IF(A175="","",COUNTIFS('Stability Checks'!$A$5:$A$2000,A175,'Stability Checks'!$C$5:$C$2000,"Re-execution",'Stability Checks'!$E$5:$E$2000,"Pass"))</f>
        <v/>
      </c>
      <c r="Q175" s="56">
        <f>IF(A175="","",COUNTIFS('Stability Checks'!$A$5:$A$2000,A175,'Stability Checks'!$C$5:$C$2000,"Re-prompt",'Stability Checks'!$E$5:$E$2000,"Pass"))</f>
        <v/>
      </c>
      <c r="R175" s="47">
        <f>IF(A175="","",'Run Plan'!Q175)</f>
        <v/>
      </c>
      <c r="S175" s="50" t="n"/>
    </row>
    <row r="176" ht="15.75" customHeight="1" s="40">
      <c r="A176" s="55">
        <f>IF('Run Plan'!A176="","",'Run Plan'!A176)</f>
        <v/>
      </c>
      <c r="B176" s="55">
        <f>IF(A176="","",'Run Plan'!C176)</f>
        <v/>
      </c>
      <c r="C176" s="55">
        <f>IF(A176="","",'Run Plan'!E176)</f>
        <v/>
      </c>
      <c r="D176" s="54">
        <f>IF(A176="","",'Run Plan'!G176)</f>
        <v/>
      </c>
      <c r="E176" s="47">
        <f>IF(A176="","",'Run Plan'!K176)</f>
        <v/>
      </c>
      <c r="F176" s="47">
        <f>IF(A176="","",'Run Plan'!J176)</f>
        <v/>
      </c>
      <c r="G176" s="56">
        <f>IF(A176="","",COUNTIF('Turn Log'!$B$5:$B$5000,A176))</f>
        <v/>
      </c>
      <c r="H176" s="56">
        <f>IF(A176="","",IFERROR(MINIFS('Turn Log'!$C$5:$C$5000,'Turn Log'!$B$5:$B$5000,A176,'Turn Log'!$Q$5:$Q$5000,"Pass"),""))</f>
        <v/>
      </c>
      <c r="I176" s="56">
        <f>IF(A176="","",IFERROR(MAXIFS('Turn Log'!$C$5:$C$5000,'Turn Log'!$B$5:$B$5000,A176),""))</f>
        <v/>
      </c>
      <c r="J176" s="56">
        <f>IF(A176="","",IFERROR(INDEX('Turn Log'!$Q$5:$Q$5000,MATCH(1,('Turn Log'!$B$5:$B$5000=A176)*('Turn Log'!$C$5:$C$5000=I176),0)),""))</f>
        <v/>
      </c>
      <c r="K176" s="56">
        <f>IF(A176="","",IFERROR(INDEX('Turn Log'!$R$5:$R$5000,MATCH(1,('Turn Log'!$B$5:$B$5000=A176)*('Turn Log'!$C$5:$C$5000=I176),0)),""))</f>
        <v/>
      </c>
      <c r="L176" s="56">
        <f>IF(A176="","",COUNTIFS('Turn Log'!$B$5:$B$5000,A176,'Turn Log'!$X$5:$X$5000,1))</f>
        <v/>
      </c>
      <c r="M176" s="56">
        <f>IF(A176="","",COUNTIFS('Turn Log'!$B$5:$B$5000,A176,'Turn Log'!$Y$5:$Y$5000,1))</f>
        <v/>
      </c>
      <c r="N176" s="56">
        <f>IF(A176="","",COUNTIFS('Turn Log'!$B$5:$B$5000,A176,'Turn Log'!$W$5:$W$5000,1))</f>
        <v/>
      </c>
      <c r="O176" s="56">
        <f>IF(H176="","No","Yes")</f>
        <v/>
      </c>
      <c r="P176" s="56">
        <f>IF(A176="","",COUNTIFS('Stability Checks'!$A$5:$A$2000,A176,'Stability Checks'!$C$5:$C$2000,"Re-execution",'Stability Checks'!$E$5:$E$2000,"Pass"))</f>
        <v/>
      </c>
      <c r="Q176" s="56">
        <f>IF(A176="","",COUNTIFS('Stability Checks'!$A$5:$A$2000,A176,'Stability Checks'!$C$5:$C$2000,"Re-prompt",'Stability Checks'!$E$5:$E$2000,"Pass"))</f>
        <v/>
      </c>
      <c r="R176" s="47">
        <f>IF(A176="","",'Run Plan'!Q176)</f>
        <v/>
      </c>
      <c r="S176" s="50" t="n"/>
    </row>
    <row r="177" ht="15.75" customHeight="1" s="40">
      <c r="A177" s="55">
        <f>IF('Run Plan'!A177="","",'Run Plan'!A177)</f>
        <v/>
      </c>
      <c r="B177" s="55">
        <f>IF(A177="","",'Run Plan'!C177)</f>
        <v/>
      </c>
      <c r="C177" s="55">
        <f>IF(A177="","",'Run Plan'!E177)</f>
        <v/>
      </c>
      <c r="D177" s="54">
        <f>IF(A177="","",'Run Plan'!G177)</f>
        <v/>
      </c>
      <c r="E177" s="47">
        <f>IF(A177="","",'Run Plan'!K177)</f>
        <v/>
      </c>
      <c r="F177" s="47">
        <f>IF(A177="","",'Run Plan'!J177)</f>
        <v/>
      </c>
      <c r="G177" s="56">
        <f>IF(A177="","",COUNTIF('Turn Log'!$B$5:$B$5000,A177))</f>
        <v/>
      </c>
      <c r="H177" s="56">
        <f>IF(A177="","",IFERROR(MINIFS('Turn Log'!$C$5:$C$5000,'Turn Log'!$B$5:$B$5000,A177,'Turn Log'!$Q$5:$Q$5000,"Pass"),""))</f>
        <v/>
      </c>
      <c r="I177" s="56">
        <f>IF(A177="","",IFERROR(MAXIFS('Turn Log'!$C$5:$C$5000,'Turn Log'!$B$5:$B$5000,A177),""))</f>
        <v/>
      </c>
      <c r="J177" s="56">
        <f>IF(A177="","",IFERROR(INDEX('Turn Log'!$Q$5:$Q$5000,MATCH(1,('Turn Log'!$B$5:$B$5000=A177)*('Turn Log'!$C$5:$C$5000=I177),0)),""))</f>
        <v/>
      </c>
      <c r="K177" s="56">
        <f>IF(A177="","",IFERROR(INDEX('Turn Log'!$R$5:$R$5000,MATCH(1,('Turn Log'!$B$5:$B$5000=A177)*('Turn Log'!$C$5:$C$5000=I177),0)),""))</f>
        <v/>
      </c>
      <c r="L177" s="56">
        <f>IF(A177="","",COUNTIFS('Turn Log'!$B$5:$B$5000,A177,'Turn Log'!$X$5:$X$5000,1))</f>
        <v/>
      </c>
      <c r="M177" s="56">
        <f>IF(A177="","",COUNTIFS('Turn Log'!$B$5:$B$5000,A177,'Turn Log'!$Y$5:$Y$5000,1))</f>
        <v/>
      </c>
      <c r="N177" s="56">
        <f>IF(A177="","",COUNTIFS('Turn Log'!$B$5:$B$5000,A177,'Turn Log'!$W$5:$W$5000,1))</f>
        <v/>
      </c>
      <c r="O177" s="56">
        <f>IF(H177="","No","Yes")</f>
        <v/>
      </c>
      <c r="P177" s="56">
        <f>IF(A177="","",COUNTIFS('Stability Checks'!$A$5:$A$2000,A177,'Stability Checks'!$C$5:$C$2000,"Re-execution",'Stability Checks'!$E$5:$E$2000,"Pass"))</f>
        <v/>
      </c>
      <c r="Q177" s="56">
        <f>IF(A177="","",COUNTIFS('Stability Checks'!$A$5:$A$2000,A177,'Stability Checks'!$C$5:$C$2000,"Re-prompt",'Stability Checks'!$E$5:$E$2000,"Pass"))</f>
        <v/>
      </c>
      <c r="R177" s="47">
        <f>IF(A177="","",'Run Plan'!Q177)</f>
        <v/>
      </c>
      <c r="S177" s="50" t="n"/>
    </row>
    <row r="178" ht="15.75" customHeight="1" s="40">
      <c r="A178" s="55">
        <f>IF('Run Plan'!A178="","",'Run Plan'!A178)</f>
        <v/>
      </c>
      <c r="B178" s="55">
        <f>IF(A178="","",'Run Plan'!C178)</f>
        <v/>
      </c>
      <c r="C178" s="55">
        <f>IF(A178="","",'Run Plan'!E178)</f>
        <v/>
      </c>
      <c r="D178" s="54">
        <f>IF(A178="","",'Run Plan'!G178)</f>
        <v/>
      </c>
      <c r="E178" s="47">
        <f>IF(A178="","",'Run Plan'!K178)</f>
        <v/>
      </c>
      <c r="F178" s="47">
        <f>IF(A178="","",'Run Plan'!J178)</f>
        <v/>
      </c>
      <c r="G178" s="56">
        <f>IF(A178="","",COUNTIF('Turn Log'!$B$5:$B$5000,A178))</f>
        <v/>
      </c>
      <c r="H178" s="56">
        <f>IF(A178="","",IFERROR(MINIFS('Turn Log'!$C$5:$C$5000,'Turn Log'!$B$5:$B$5000,A178,'Turn Log'!$Q$5:$Q$5000,"Pass"),""))</f>
        <v/>
      </c>
      <c r="I178" s="56">
        <f>IF(A178="","",IFERROR(MAXIFS('Turn Log'!$C$5:$C$5000,'Turn Log'!$B$5:$B$5000,A178),""))</f>
        <v/>
      </c>
      <c r="J178" s="56">
        <f>IF(A178="","",IFERROR(INDEX('Turn Log'!$Q$5:$Q$5000,MATCH(1,('Turn Log'!$B$5:$B$5000=A178)*('Turn Log'!$C$5:$C$5000=I178),0)),""))</f>
        <v/>
      </c>
      <c r="K178" s="56">
        <f>IF(A178="","",IFERROR(INDEX('Turn Log'!$R$5:$R$5000,MATCH(1,('Turn Log'!$B$5:$B$5000=A178)*('Turn Log'!$C$5:$C$5000=I178),0)),""))</f>
        <v/>
      </c>
      <c r="L178" s="56">
        <f>IF(A178="","",COUNTIFS('Turn Log'!$B$5:$B$5000,A178,'Turn Log'!$X$5:$X$5000,1))</f>
        <v/>
      </c>
      <c r="M178" s="56">
        <f>IF(A178="","",COUNTIFS('Turn Log'!$B$5:$B$5000,A178,'Turn Log'!$Y$5:$Y$5000,1))</f>
        <v/>
      </c>
      <c r="N178" s="56">
        <f>IF(A178="","",COUNTIFS('Turn Log'!$B$5:$B$5000,A178,'Turn Log'!$W$5:$W$5000,1))</f>
        <v/>
      </c>
      <c r="O178" s="56">
        <f>IF(H178="","No","Yes")</f>
        <v/>
      </c>
      <c r="P178" s="56">
        <f>IF(A178="","",COUNTIFS('Stability Checks'!$A$5:$A$2000,A178,'Stability Checks'!$C$5:$C$2000,"Re-execution",'Stability Checks'!$E$5:$E$2000,"Pass"))</f>
        <v/>
      </c>
      <c r="Q178" s="56">
        <f>IF(A178="","",COUNTIFS('Stability Checks'!$A$5:$A$2000,A178,'Stability Checks'!$C$5:$C$2000,"Re-prompt",'Stability Checks'!$E$5:$E$2000,"Pass"))</f>
        <v/>
      </c>
      <c r="R178" s="47">
        <f>IF(A178="","",'Run Plan'!Q178)</f>
        <v/>
      </c>
      <c r="S178" s="50" t="n"/>
    </row>
    <row r="179" ht="15.75" customHeight="1" s="40">
      <c r="A179" s="55">
        <f>IF('Run Plan'!A179="","",'Run Plan'!A179)</f>
        <v/>
      </c>
      <c r="B179" s="55">
        <f>IF(A179="","",'Run Plan'!C179)</f>
        <v/>
      </c>
      <c r="C179" s="55">
        <f>IF(A179="","",'Run Plan'!E179)</f>
        <v/>
      </c>
      <c r="D179" s="54">
        <f>IF(A179="","",'Run Plan'!G179)</f>
        <v/>
      </c>
      <c r="E179" s="47">
        <f>IF(A179="","",'Run Plan'!K179)</f>
        <v/>
      </c>
      <c r="F179" s="47">
        <f>IF(A179="","",'Run Plan'!J179)</f>
        <v/>
      </c>
      <c r="G179" s="56">
        <f>IF(A179="","",COUNTIF('Turn Log'!$B$5:$B$5000,A179))</f>
        <v/>
      </c>
      <c r="H179" s="56">
        <f>IF(A179="","",IFERROR(MINIFS('Turn Log'!$C$5:$C$5000,'Turn Log'!$B$5:$B$5000,A179,'Turn Log'!$Q$5:$Q$5000,"Pass"),""))</f>
        <v/>
      </c>
      <c r="I179" s="56">
        <f>IF(A179="","",IFERROR(MAXIFS('Turn Log'!$C$5:$C$5000,'Turn Log'!$B$5:$B$5000,A179),""))</f>
        <v/>
      </c>
      <c r="J179" s="56">
        <f>IF(A179="","",IFERROR(INDEX('Turn Log'!$Q$5:$Q$5000,MATCH(1,('Turn Log'!$B$5:$B$5000=A179)*('Turn Log'!$C$5:$C$5000=I179),0)),""))</f>
        <v/>
      </c>
      <c r="K179" s="56">
        <f>IF(A179="","",IFERROR(INDEX('Turn Log'!$R$5:$R$5000,MATCH(1,('Turn Log'!$B$5:$B$5000=A179)*('Turn Log'!$C$5:$C$5000=I179),0)),""))</f>
        <v/>
      </c>
      <c r="L179" s="56">
        <f>IF(A179="","",COUNTIFS('Turn Log'!$B$5:$B$5000,A179,'Turn Log'!$X$5:$X$5000,1))</f>
        <v/>
      </c>
      <c r="M179" s="56">
        <f>IF(A179="","",COUNTIFS('Turn Log'!$B$5:$B$5000,A179,'Turn Log'!$Y$5:$Y$5000,1))</f>
        <v/>
      </c>
      <c r="N179" s="56">
        <f>IF(A179="","",COUNTIFS('Turn Log'!$B$5:$B$5000,A179,'Turn Log'!$W$5:$W$5000,1))</f>
        <v/>
      </c>
      <c r="O179" s="56">
        <f>IF(H179="","No","Yes")</f>
        <v/>
      </c>
      <c r="P179" s="56">
        <f>IF(A179="","",COUNTIFS('Stability Checks'!$A$5:$A$2000,A179,'Stability Checks'!$C$5:$C$2000,"Re-execution",'Stability Checks'!$E$5:$E$2000,"Pass"))</f>
        <v/>
      </c>
      <c r="Q179" s="56">
        <f>IF(A179="","",COUNTIFS('Stability Checks'!$A$5:$A$2000,A179,'Stability Checks'!$C$5:$C$2000,"Re-prompt",'Stability Checks'!$E$5:$E$2000,"Pass"))</f>
        <v/>
      </c>
      <c r="R179" s="47">
        <f>IF(A179="","",'Run Plan'!Q179)</f>
        <v/>
      </c>
      <c r="S179" s="50" t="n"/>
    </row>
    <row r="180" ht="15.75" customHeight="1" s="40">
      <c r="A180" s="55">
        <f>IF('Run Plan'!A180="","",'Run Plan'!A180)</f>
        <v/>
      </c>
      <c r="B180" s="55">
        <f>IF(A180="","",'Run Plan'!C180)</f>
        <v/>
      </c>
      <c r="C180" s="55">
        <f>IF(A180="","",'Run Plan'!E180)</f>
        <v/>
      </c>
      <c r="D180" s="54">
        <f>IF(A180="","",'Run Plan'!G180)</f>
        <v/>
      </c>
      <c r="E180" s="47">
        <f>IF(A180="","",'Run Plan'!K180)</f>
        <v/>
      </c>
      <c r="F180" s="47">
        <f>IF(A180="","",'Run Plan'!J180)</f>
        <v/>
      </c>
      <c r="G180" s="56">
        <f>IF(A180="","",COUNTIF('Turn Log'!$B$5:$B$5000,A180))</f>
        <v/>
      </c>
      <c r="H180" s="56">
        <f>IF(A180="","",IFERROR(MINIFS('Turn Log'!$C$5:$C$5000,'Turn Log'!$B$5:$B$5000,A180,'Turn Log'!$Q$5:$Q$5000,"Pass"),""))</f>
        <v/>
      </c>
      <c r="I180" s="56">
        <f>IF(A180="","",IFERROR(MAXIFS('Turn Log'!$C$5:$C$5000,'Turn Log'!$B$5:$B$5000,A180),""))</f>
        <v/>
      </c>
      <c r="J180" s="56">
        <f>IF(A180="","",IFERROR(INDEX('Turn Log'!$Q$5:$Q$5000,MATCH(1,('Turn Log'!$B$5:$B$5000=A180)*('Turn Log'!$C$5:$C$5000=I180),0)),""))</f>
        <v/>
      </c>
      <c r="K180" s="56">
        <f>IF(A180="","",IFERROR(INDEX('Turn Log'!$R$5:$R$5000,MATCH(1,('Turn Log'!$B$5:$B$5000=A180)*('Turn Log'!$C$5:$C$5000=I180),0)),""))</f>
        <v/>
      </c>
      <c r="L180" s="56">
        <f>IF(A180="","",COUNTIFS('Turn Log'!$B$5:$B$5000,A180,'Turn Log'!$X$5:$X$5000,1))</f>
        <v/>
      </c>
      <c r="M180" s="56">
        <f>IF(A180="","",COUNTIFS('Turn Log'!$B$5:$B$5000,A180,'Turn Log'!$Y$5:$Y$5000,1))</f>
        <v/>
      </c>
      <c r="N180" s="56">
        <f>IF(A180="","",COUNTIFS('Turn Log'!$B$5:$B$5000,A180,'Turn Log'!$W$5:$W$5000,1))</f>
        <v/>
      </c>
      <c r="O180" s="56">
        <f>IF(H180="","No","Yes")</f>
        <v/>
      </c>
      <c r="P180" s="56">
        <f>IF(A180="","",COUNTIFS('Stability Checks'!$A$5:$A$2000,A180,'Stability Checks'!$C$5:$C$2000,"Re-execution",'Stability Checks'!$E$5:$E$2000,"Pass"))</f>
        <v/>
      </c>
      <c r="Q180" s="56">
        <f>IF(A180="","",COUNTIFS('Stability Checks'!$A$5:$A$2000,A180,'Stability Checks'!$C$5:$C$2000,"Re-prompt",'Stability Checks'!$E$5:$E$2000,"Pass"))</f>
        <v/>
      </c>
      <c r="R180" s="47">
        <f>IF(A180="","",'Run Plan'!Q180)</f>
        <v/>
      </c>
      <c r="S180" s="50" t="n"/>
    </row>
    <row r="181" ht="15.75" customHeight="1" s="40">
      <c r="A181" s="55">
        <f>IF('Run Plan'!A181="","",'Run Plan'!A181)</f>
        <v/>
      </c>
      <c r="B181" s="55">
        <f>IF(A181="","",'Run Plan'!C181)</f>
        <v/>
      </c>
      <c r="C181" s="55">
        <f>IF(A181="","",'Run Plan'!E181)</f>
        <v/>
      </c>
      <c r="D181" s="54">
        <f>IF(A181="","",'Run Plan'!G181)</f>
        <v/>
      </c>
      <c r="E181" s="47">
        <f>IF(A181="","",'Run Plan'!K181)</f>
        <v/>
      </c>
      <c r="F181" s="47">
        <f>IF(A181="","",'Run Plan'!J181)</f>
        <v/>
      </c>
      <c r="G181" s="56">
        <f>IF(A181="","",COUNTIF('Turn Log'!$B$5:$B$5000,A181))</f>
        <v/>
      </c>
      <c r="H181" s="56">
        <f>IF(A181="","",IFERROR(MINIFS('Turn Log'!$C$5:$C$5000,'Turn Log'!$B$5:$B$5000,A181,'Turn Log'!$Q$5:$Q$5000,"Pass"),""))</f>
        <v/>
      </c>
      <c r="I181" s="56">
        <f>IF(A181="","",IFERROR(MAXIFS('Turn Log'!$C$5:$C$5000,'Turn Log'!$B$5:$B$5000,A181),""))</f>
        <v/>
      </c>
      <c r="J181" s="56">
        <f>IF(A181="","",IFERROR(INDEX('Turn Log'!$Q$5:$Q$5000,MATCH(1,('Turn Log'!$B$5:$B$5000=A181)*('Turn Log'!$C$5:$C$5000=I181),0)),""))</f>
        <v/>
      </c>
      <c r="K181" s="56">
        <f>IF(A181="","",IFERROR(INDEX('Turn Log'!$R$5:$R$5000,MATCH(1,('Turn Log'!$B$5:$B$5000=A181)*('Turn Log'!$C$5:$C$5000=I181),0)),""))</f>
        <v/>
      </c>
      <c r="L181" s="56">
        <f>IF(A181="","",COUNTIFS('Turn Log'!$B$5:$B$5000,A181,'Turn Log'!$X$5:$X$5000,1))</f>
        <v/>
      </c>
      <c r="M181" s="56">
        <f>IF(A181="","",COUNTIFS('Turn Log'!$B$5:$B$5000,A181,'Turn Log'!$Y$5:$Y$5000,1))</f>
        <v/>
      </c>
      <c r="N181" s="56">
        <f>IF(A181="","",COUNTIFS('Turn Log'!$B$5:$B$5000,A181,'Turn Log'!$W$5:$W$5000,1))</f>
        <v/>
      </c>
      <c r="O181" s="56">
        <f>IF(H181="","No","Yes")</f>
        <v/>
      </c>
      <c r="P181" s="56">
        <f>IF(A181="","",COUNTIFS('Stability Checks'!$A$5:$A$2000,A181,'Stability Checks'!$C$5:$C$2000,"Re-execution",'Stability Checks'!$E$5:$E$2000,"Pass"))</f>
        <v/>
      </c>
      <c r="Q181" s="56">
        <f>IF(A181="","",COUNTIFS('Stability Checks'!$A$5:$A$2000,A181,'Stability Checks'!$C$5:$C$2000,"Re-prompt",'Stability Checks'!$E$5:$E$2000,"Pass"))</f>
        <v/>
      </c>
      <c r="R181" s="47">
        <f>IF(A181="","",'Run Plan'!Q181)</f>
        <v/>
      </c>
      <c r="S181" s="50" t="n"/>
    </row>
    <row r="182" ht="15.75" customHeight="1" s="40">
      <c r="A182" s="55">
        <f>IF('Run Plan'!A182="","",'Run Plan'!A182)</f>
        <v/>
      </c>
      <c r="B182" s="55">
        <f>IF(A182="","",'Run Plan'!C182)</f>
        <v/>
      </c>
      <c r="C182" s="55">
        <f>IF(A182="","",'Run Plan'!E182)</f>
        <v/>
      </c>
      <c r="D182" s="54">
        <f>IF(A182="","",'Run Plan'!G182)</f>
        <v/>
      </c>
      <c r="E182" s="47">
        <f>IF(A182="","",'Run Plan'!K182)</f>
        <v/>
      </c>
      <c r="F182" s="47">
        <f>IF(A182="","",'Run Plan'!J182)</f>
        <v/>
      </c>
      <c r="G182" s="56">
        <f>IF(A182="","",COUNTIF('Turn Log'!$B$5:$B$5000,A182))</f>
        <v/>
      </c>
      <c r="H182" s="56">
        <f>IF(A182="","",IFERROR(MINIFS('Turn Log'!$C$5:$C$5000,'Turn Log'!$B$5:$B$5000,A182,'Turn Log'!$Q$5:$Q$5000,"Pass"),""))</f>
        <v/>
      </c>
      <c r="I182" s="56">
        <f>IF(A182="","",IFERROR(MAXIFS('Turn Log'!$C$5:$C$5000,'Turn Log'!$B$5:$B$5000,A182),""))</f>
        <v/>
      </c>
      <c r="J182" s="56">
        <f>IF(A182="","",IFERROR(INDEX('Turn Log'!$Q$5:$Q$5000,MATCH(1,('Turn Log'!$B$5:$B$5000=A182)*('Turn Log'!$C$5:$C$5000=I182),0)),""))</f>
        <v/>
      </c>
      <c r="K182" s="56">
        <f>IF(A182="","",IFERROR(INDEX('Turn Log'!$R$5:$R$5000,MATCH(1,('Turn Log'!$B$5:$B$5000=A182)*('Turn Log'!$C$5:$C$5000=I182),0)),""))</f>
        <v/>
      </c>
      <c r="L182" s="56">
        <f>IF(A182="","",COUNTIFS('Turn Log'!$B$5:$B$5000,A182,'Turn Log'!$X$5:$X$5000,1))</f>
        <v/>
      </c>
      <c r="M182" s="56">
        <f>IF(A182="","",COUNTIFS('Turn Log'!$B$5:$B$5000,A182,'Turn Log'!$Y$5:$Y$5000,1))</f>
        <v/>
      </c>
      <c r="N182" s="56">
        <f>IF(A182="","",COUNTIFS('Turn Log'!$B$5:$B$5000,A182,'Turn Log'!$W$5:$W$5000,1))</f>
        <v/>
      </c>
      <c r="O182" s="56">
        <f>IF(H182="","No","Yes")</f>
        <v/>
      </c>
      <c r="P182" s="56">
        <f>IF(A182="","",COUNTIFS('Stability Checks'!$A$5:$A$2000,A182,'Stability Checks'!$C$5:$C$2000,"Re-execution",'Stability Checks'!$E$5:$E$2000,"Pass"))</f>
        <v/>
      </c>
      <c r="Q182" s="56">
        <f>IF(A182="","",COUNTIFS('Stability Checks'!$A$5:$A$2000,A182,'Stability Checks'!$C$5:$C$2000,"Re-prompt",'Stability Checks'!$E$5:$E$2000,"Pass"))</f>
        <v/>
      </c>
      <c r="R182" s="47">
        <f>IF(A182="","",'Run Plan'!Q182)</f>
        <v/>
      </c>
      <c r="S182" s="50" t="n"/>
    </row>
    <row r="183" ht="15.75" customHeight="1" s="40">
      <c r="A183" s="55">
        <f>IF('Run Plan'!A183="","",'Run Plan'!A183)</f>
        <v/>
      </c>
      <c r="B183" s="55">
        <f>IF(A183="","",'Run Plan'!C183)</f>
        <v/>
      </c>
      <c r="C183" s="55">
        <f>IF(A183="","",'Run Plan'!E183)</f>
        <v/>
      </c>
      <c r="D183" s="54">
        <f>IF(A183="","",'Run Plan'!G183)</f>
        <v/>
      </c>
      <c r="E183" s="47">
        <f>IF(A183="","",'Run Plan'!K183)</f>
        <v/>
      </c>
      <c r="F183" s="47">
        <f>IF(A183="","",'Run Plan'!J183)</f>
        <v/>
      </c>
      <c r="G183" s="56">
        <f>IF(A183="","",COUNTIF('Turn Log'!$B$5:$B$5000,A183))</f>
        <v/>
      </c>
      <c r="H183" s="56">
        <f>IF(A183="","",IFERROR(MINIFS('Turn Log'!$C$5:$C$5000,'Turn Log'!$B$5:$B$5000,A183,'Turn Log'!$Q$5:$Q$5000,"Pass"),""))</f>
        <v/>
      </c>
      <c r="I183" s="56">
        <f>IF(A183="","",IFERROR(MAXIFS('Turn Log'!$C$5:$C$5000,'Turn Log'!$B$5:$B$5000,A183),""))</f>
        <v/>
      </c>
      <c r="J183" s="56">
        <f>IF(A183="","",IFERROR(INDEX('Turn Log'!$Q$5:$Q$5000,MATCH(1,('Turn Log'!$B$5:$B$5000=A183)*('Turn Log'!$C$5:$C$5000=I183),0)),""))</f>
        <v/>
      </c>
      <c r="K183" s="56">
        <f>IF(A183="","",IFERROR(INDEX('Turn Log'!$R$5:$R$5000,MATCH(1,('Turn Log'!$B$5:$B$5000=A183)*('Turn Log'!$C$5:$C$5000=I183),0)),""))</f>
        <v/>
      </c>
      <c r="L183" s="56">
        <f>IF(A183="","",COUNTIFS('Turn Log'!$B$5:$B$5000,A183,'Turn Log'!$X$5:$X$5000,1))</f>
        <v/>
      </c>
      <c r="M183" s="56">
        <f>IF(A183="","",COUNTIFS('Turn Log'!$B$5:$B$5000,A183,'Turn Log'!$Y$5:$Y$5000,1))</f>
        <v/>
      </c>
      <c r="N183" s="56">
        <f>IF(A183="","",COUNTIFS('Turn Log'!$B$5:$B$5000,A183,'Turn Log'!$W$5:$W$5000,1))</f>
        <v/>
      </c>
      <c r="O183" s="56">
        <f>IF(H183="","No","Yes")</f>
        <v/>
      </c>
      <c r="P183" s="56">
        <f>IF(A183="","",COUNTIFS('Stability Checks'!$A$5:$A$2000,A183,'Stability Checks'!$C$5:$C$2000,"Re-execution",'Stability Checks'!$E$5:$E$2000,"Pass"))</f>
        <v/>
      </c>
      <c r="Q183" s="56">
        <f>IF(A183="","",COUNTIFS('Stability Checks'!$A$5:$A$2000,A183,'Stability Checks'!$C$5:$C$2000,"Re-prompt",'Stability Checks'!$E$5:$E$2000,"Pass"))</f>
        <v/>
      </c>
      <c r="R183" s="47">
        <f>IF(A183="","",'Run Plan'!Q183)</f>
        <v/>
      </c>
      <c r="S183" s="50" t="n"/>
    </row>
    <row r="184" ht="15.75" customHeight="1" s="40">
      <c r="A184" s="55">
        <f>IF('Run Plan'!A184="","",'Run Plan'!A184)</f>
        <v/>
      </c>
      <c r="B184" s="55">
        <f>IF(A184="","",'Run Plan'!C184)</f>
        <v/>
      </c>
      <c r="C184" s="55">
        <f>IF(A184="","",'Run Plan'!E184)</f>
        <v/>
      </c>
      <c r="D184" s="54">
        <f>IF(A184="","",'Run Plan'!G184)</f>
        <v/>
      </c>
      <c r="E184" s="47">
        <f>IF(A184="","",'Run Plan'!K184)</f>
        <v/>
      </c>
      <c r="F184" s="47">
        <f>IF(A184="","",'Run Plan'!J184)</f>
        <v/>
      </c>
      <c r="G184" s="56">
        <f>IF(A184="","",COUNTIF('Turn Log'!$B$5:$B$5000,A184))</f>
        <v/>
      </c>
      <c r="H184" s="56">
        <f>IF(A184="","",IFERROR(MINIFS('Turn Log'!$C$5:$C$5000,'Turn Log'!$B$5:$B$5000,A184,'Turn Log'!$Q$5:$Q$5000,"Pass"),""))</f>
        <v/>
      </c>
      <c r="I184" s="56">
        <f>IF(A184="","",IFERROR(MAXIFS('Turn Log'!$C$5:$C$5000,'Turn Log'!$B$5:$B$5000,A184),""))</f>
        <v/>
      </c>
      <c r="J184" s="56">
        <f>IF(A184="","",IFERROR(INDEX('Turn Log'!$Q$5:$Q$5000,MATCH(1,('Turn Log'!$B$5:$B$5000=A184)*('Turn Log'!$C$5:$C$5000=I184),0)),""))</f>
        <v/>
      </c>
      <c r="K184" s="56">
        <f>IF(A184="","",IFERROR(INDEX('Turn Log'!$R$5:$R$5000,MATCH(1,('Turn Log'!$B$5:$B$5000=A184)*('Turn Log'!$C$5:$C$5000=I184),0)),""))</f>
        <v/>
      </c>
      <c r="L184" s="56">
        <f>IF(A184="","",COUNTIFS('Turn Log'!$B$5:$B$5000,A184,'Turn Log'!$X$5:$X$5000,1))</f>
        <v/>
      </c>
      <c r="M184" s="56">
        <f>IF(A184="","",COUNTIFS('Turn Log'!$B$5:$B$5000,A184,'Turn Log'!$Y$5:$Y$5000,1))</f>
        <v/>
      </c>
      <c r="N184" s="56">
        <f>IF(A184="","",COUNTIFS('Turn Log'!$B$5:$B$5000,A184,'Turn Log'!$W$5:$W$5000,1))</f>
        <v/>
      </c>
      <c r="O184" s="56">
        <f>IF(H184="","No","Yes")</f>
        <v/>
      </c>
      <c r="P184" s="56">
        <f>IF(A184="","",COUNTIFS('Stability Checks'!$A$5:$A$2000,A184,'Stability Checks'!$C$5:$C$2000,"Re-execution",'Stability Checks'!$E$5:$E$2000,"Pass"))</f>
        <v/>
      </c>
      <c r="Q184" s="56">
        <f>IF(A184="","",COUNTIFS('Stability Checks'!$A$5:$A$2000,A184,'Stability Checks'!$C$5:$C$2000,"Re-prompt",'Stability Checks'!$E$5:$E$2000,"Pass"))</f>
        <v/>
      </c>
      <c r="R184" s="47">
        <f>IF(A184="","",'Run Plan'!Q184)</f>
        <v/>
      </c>
      <c r="S184" s="50" t="n"/>
    </row>
    <row r="185" ht="15.75" customHeight="1" s="40">
      <c r="A185" s="55">
        <f>IF('Run Plan'!A185="","",'Run Plan'!A185)</f>
        <v/>
      </c>
      <c r="B185" s="55">
        <f>IF(A185="","",'Run Plan'!C185)</f>
        <v/>
      </c>
      <c r="C185" s="55">
        <f>IF(A185="","",'Run Plan'!E185)</f>
        <v/>
      </c>
      <c r="D185" s="54">
        <f>IF(A185="","",'Run Plan'!G185)</f>
        <v/>
      </c>
      <c r="E185" s="47">
        <f>IF(A185="","",'Run Plan'!K185)</f>
        <v/>
      </c>
      <c r="F185" s="47">
        <f>IF(A185="","",'Run Plan'!J185)</f>
        <v/>
      </c>
      <c r="G185" s="56">
        <f>IF(A185="","",COUNTIF('Turn Log'!$B$5:$B$5000,A185))</f>
        <v/>
      </c>
      <c r="H185" s="56">
        <f>IF(A185="","",IFERROR(MINIFS('Turn Log'!$C$5:$C$5000,'Turn Log'!$B$5:$B$5000,A185,'Turn Log'!$Q$5:$Q$5000,"Pass"),""))</f>
        <v/>
      </c>
      <c r="I185" s="56">
        <f>IF(A185="","",IFERROR(MAXIFS('Turn Log'!$C$5:$C$5000,'Turn Log'!$B$5:$B$5000,A185),""))</f>
        <v/>
      </c>
      <c r="J185" s="56">
        <f>IF(A185="","",IFERROR(INDEX('Turn Log'!$Q$5:$Q$5000,MATCH(1,('Turn Log'!$B$5:$B$5000=A185)*('Turn Log'!$C$5:$C$5000=I185),0)),""))</f>
        <v/>
      </c>
      <c r="K185" s="56">
        <f>IF(A185="","",IFERROR(INDEX('Turn Log'!$R$5:$R$5000,MATCH(1,('Turn Log'!$B$5:$B$5000=A185)*('Turn Log'!$C$5:$C$5000=I185),0)),""))</f>
        <v/>
      </c>
      <c r="L185" s="56">
        <f>IF(A185="","",COUNTIFS('Turn Log'!$B$5:$B$5000,A185,'Turn Log'!$X$5:$X$5000,1))</f>
        <v/>
      </c>
      <c r="M185" s="56">
        <f>IF(A185="","",COUNTIFS('Turn Log'!$B$5:$B$5000,A185,'Turn Log'!$Y$5:$Y$5000,1))</f>
        <v/>
      </c>
      <c r="N185" s="56">
        <f>IF(A185="","",COUNTIFS('Turn Log'!$B$5:$B$5000,A185,'Turn Log'!$W$5:$W$5000,1))</f>
        <v/>
      </c>
      <c r="O185" s="56">
        <f>IF(H185="","No","Yes")</f>
        <v/>
      </c>
      <c r="P185" s="56">
        <f>IF(A185="","",COUNTIFS('Stability Checks'!$A$5:$A$2000,A185,'Stability Checks'!$C$5:$C$2000,"Re-execution",'Stability Checks'!$E$5:$E$2000,"Pass"))</f>
        <v/>
      </c>
      <c r="Q185" s="56">
        <f>IF(A185="","",COUNTIFS('Stability Checks'!$A$5:$A$2000,A185,'Stability Checks'!$C$5:$C$2000,"Re-prompt",'Stability Checks'!$E$5:$E$2000,"Pass"))</f>
        <v/>
      </c>
      <c r="R185" s="47">
        <f>IF(A185="","",'Run Plan'!Q185)</f>
        <v/>
      </c>
      <c r="S185" s="50" t="n"/>
    </row>
    <row r="186" ht="15.75" customHeight="1" s="40">
      <c r="A186" s="55">
        <f>IF('Run Plan'!A186="","",'Run Plan'!A186)</f>
        <v/>
      </c>
      <c r="B186" s="55">
        <f>IF(A186="","",'Run Plan'!C186)</f>
        <v/>
      </c>
      <c r="C186" s="55">
        <f>IF(A186="","",'Run Plan'!E186)</f>
        <v/>
      </c>
      <c r="D186" s="54">
        <f>IF(A186="","",'Run Plan'!G186)</f>
        <v/>
      </c>
      <c r="E186" s="47">
        <f>IF(A186="","",'Run Plan'!K186)</f>
        <v/>
      </c>
      <c r="F186" s="47">
        <f>IF(A186="","",'Run Plan'!J186)</f>
        <v/>
      </c>
      <c r="G186" s="56">
        <f>IF(A186="","",COUNTIF('Turn Log'!$B$5:$B$5000,A186))</f>
        <v/>
      </c>
      <c r="H186" s="56">
        <f>IF(A186="","",IFERROR(MINIFS('Turn Log'!$C$5:$C$5000,'Turn Log'!$B$5:$B$5000,A186,'Turn Log'!$Q$5:$Q$5000,"Pass"),""))</f>
        <v/>
      </c>
      <c r="I186" s="56">
        <f>IF(A186="","",IFERROR(MAXIFS('Turn Log'!$C$5:$C$5000,'Turn Log'!$B$5:$B$5000,A186),""))</f>
        <v/>
      </c>
      <c r="J186" s="56">
        <f>IF(A186="","",IFERROR(INDEX('Turn Log'!$Q$5:$Q$5000,MATCH(1,('Turn Log'!$B$5:$B$5000=A186)*('Turn Log'!$C$5:$C$5000=I186),0)),""))</f>
        <v/>
      </c>
      <c r="K186" s="56">
        <f>IF(A186="","",IFERROR(INDEX('Turn Log'!$R$5:$R$5000,MATCH(1,('Turn Log'!$B$5:$B$5000=A186)*('Turn Log'!$C$5:$C$5000=I186),0)),""))</f>
        <v/>
      </c>
      <c r="L186" s="56">
        <f>IF(A186="","",COUNTIFS('Turn Log'!$B$5:$B$5000,A186,'Turn Log'!$X$5:$X$5000,1))</f>
        <v/>
      </c>
      <c r="M186" s="56">
        <f>IF(A186="","",COUNTIFS('Turn Log'!$B$5:$B$5000,A186,'Turn Log'!$Y$5:$Y$5000,1))</f>
        <v/>
      </c>
      <c r="N186" s="56">
        <f>IF(A186="","",COUNTIFS('Turn Log'!$B$5:$B$5000,A186,'Turn Log'!$W$5:$W$5000,1))</f>
        <v/>
      </c>
      <c r="O186" s="56">
        <f>IF(H186="","No","Yes")</f>
        <v/>
      </c>
      <c r="P186" s="56">
        <f>IF(A186="","",COUNTIFS('Stability Checks'!$A$5:$A$2000,A186,'Stability Checks'!$C$5:$C$2000,"Re-execution",'Stability Checks'!$E$5:$E$2000,"Pass"))</f>
        <v/>
      </c>
      <c r="Q186" s="56">
        <f>IF(A186="","",COUNTIFS('Stability Checks'!$A$5:$A$2000,A186,'Stability Checks'!$C$5:$C$2000,"Re-prompt",'Stability Checks'!$E$5:$E$2000,"Pass"))</f>
        <v/>
      </c>
      <c r="R186" s="47">
        <f>IF(A186="","",'Run Plan'!Q186)</f>
        <v/>
      </c>
      <c r="S186" s="50" t="n"/>
    </row>
    <row r="187" ht="15.75" customHeight="1" s="40">
      <c r="A187" s="55">
        <f>IF('Run Plan'!A187="","",'Run Plan'!A187)</f>
        <v/>
      </c>
      <c r="B187" s="55">
        <f>IF(A187="","",'Run Plan'!C187)</f>
        <v/>
      </c>
      <c r="C187" s="55">
        <f>IF(A187="","",'Run Plan'!E187)</f>
        <v/>
      </c>
      <c r="D187" s="54">
        <f>IF(A187="","",'Run Plan'!G187)</f>
        <v/>
      </c>
      <c r="E187" s="47">
        <f>IF(A187="","",'Run Plan'!K187)</f>
        <v/>
      </c>
      <c r="F187" s="47">
        <f>IF(A187="","",'Run Plan'!J187)</f>
        <v/>
      </c>
      <c r="G187" s="56">
        <f>IF(A187="","",COUNTIF('Turn Log'!$B$5:$B$5000,A187))</f>
        <v/>
      </c>
      <c r="H187" s="56">
        <f>IF(A187="","",IFERROR(MINIFS('Turn Log'!$C$5:$C$5000,'Turn Log'!$B$5:$B$5000,A187,'Turn Log'!$Q$5:$Q$5000,"Pass"),""))</f>
        <v/>
      </c>
      <c r="I187" s="56">
        <f>IF(A187="","",IFERROR(MAXIFS('Turn Log'!$C$5:$C$5000,'Turn Log'!$B$5:$B$5000,A187),""))</f>
        <v/>
      </c>
      <c r="J187" s="56">
        <f>IF(A187="","",IFERROR(INDEX('Turn Log'!$Q$5:$Q$5000,MATCH(1,('Turn Log'!$B$5:$B$5000=A187)*('Turn Log'!$C$5:$C$5000=I187),0)),""))</f>
        <v/>
      </c>
      <c r="K187" s="56">
        <f>IF(A187="","",IFERROR(INDEX('Turn Log'!$R$5:$R$5000,MATCH(1,('Turn Log'!$B$5:$B$5000=A187)*('Turn Log'!$C$5:$C$5000=I187),0)),""))</f>
        <v/>
      </c>
      <c r="L187" s="56">
        <f>IF(A187="","",COUNTIFS('Turn Log'!$B$5:$B$5000,A187,'Turn Log'!$X$5:$X$5000,1))</f>
        <v/>
      </c>
      <c r="M187" s="56">
        <f>IF(A187="","",COUNTIFS('Turn Log'!$B$5:$B$5000,A187,'Turn Log'!$Y$5:$Y$5000,1))</f>
        <v/>
      </c>
      <c r="N187" s="56">
        <f>IF(A187="","",COUNTIFS('Turn Log'!$B$5:$B$5000,A187,'Turn Log'!$W$5:$W$5000,1))</f>
        <v/>
      </c>
      <c r="O187" s="56">
        <f>IF(H187="","No","Yes")</f>
        <v/>
      </c>
      <c r="P187" s="56">
        <f>IF(A187="","",COUNTIFS('Stability Checks'!$A$5:$A$2000,A187,'Stability Checks'!$C$5:$C$2000,"Re-execution",'Stability Checks'!$E$5:$E$2000,"Pass"))</f>
        <v/>
      </c>
      <c r="Q187" s="56">
        <f>IF(A187="","",COUNTIFS('Stability Checks'!$A$5:$A$2000,A187,'Stability Checks'!$C$5:$C$2000,"Re-prompt",'Stability Checks'!$E$5:$E$2000,"Pass"))</f>
        <v/>
      </c>
      <c r="R187" s="47">
        <f>IF(A187="","",'Run Plan'!Q187)</f>
        <v/>
      </c>
      <c r="S187" s="50" t="n"/>
    </row>
    <row r="188" ht="15.75" customHeight="1" s="40">
      <c r="A188" s="55">
        <f>IF('Run Plan'!A188="","",'Run Plan'!A188)</f>
        <v/>
      </c>
      <c r="B188" s="55">
        <f>IF(A188="","",'Run Plan'!C188)</f>
        <v/>
      </c>
      <c r="C188" s="55">
        <f>IF(A188="","",'Run Plan'!E188)</f>
        <v/>
      </c>
      <c r="D188" s="54">
        <f>IF(A188="","",'Run Plan'!G188)</f>
        <v/>
      </c>
      <c r="E188" s="47">
        <f>IF(A188="","",'Run Plan'!K188)</f>
        <v/>
      </c>
      <c r="F188" s="47">
        <f>IF(A188="","",'Run Plan'!J188)</f>
        <v/>
      </c>
      <c r="G188" s="56">
        <f>IF(A188="","",COUNTIF('Turn Log'!$B$5:$B$5000,A188))</f>
        <v/>
      </c>
      <c r="H188" s="56">
        <f>IF(A188="","",IFERROR(MINIFS('Turn Log'!$C$5:$C$5000,'Turn Log'!$B$5:$B$5000,A188,'Turn Log'!$Q$5:$Q$5000,"Pass"),""))</f>
        <v/>
      </c>
      <c r="I188" s="56">
        <f>IF(A188="","",IFERROR(MAXIFS('Turn Log'!$C$5:$C$5000,'Turn Log'!$B$5:$B$5000,A188),""))</f>
        <v/>
      </c>
      <c r="J188" s="56">
        <f>IF(A188="","",IFERROR(INDEX('Turn Log'!$Q$5:$Q$5000,MATCH(1,('Turn Log'!$B$5:$B$5000=A188)*('Turn Log'!$C$5:$C$5000=I188),0)),""))</f>
        <v/>
      </c>
      <c r="K188" s="56">
        <f>IF(A188="","",IFERROR(INDEX('Turn Log'!$R$5:$R$5000,MATCH(1,('Turn Log'!$B$5:$B$5000=A188)*('Turn Log'!$C$5:$C$5000=I188),0)),""))</f>
        <v/>
      </c>
      <c r="L188" s="56">
        <f>IF(A188="","",COUNTIFS('Turn Log'!$B$5:$B$5000,A188,'Turn Log'!$X$5:$X$5000,1))</f>
        <v/>
      </c>
      <c r="M188" s="56">
        <f>IF(A188="","",COUNTIFS('Turn Log'!$B$5:$B$5000,A188,'Turn Log'!$Y$5:$Y$5000,1))</f>
        <v/>
      </c>
      <c r="N188" s="56">
        <f>IF(A188="","",COUNTIFS('Turn Log'!$B$5:$B$5000,A188,'Turn Log'!$W$5:$W$5000,1))</f>
        <v/>
      </c>
      <c r="O188" s="56">
        <f>IF(H188="","No","Yes")</f>
        <v/>
      </c>
      <c r="P188" s="56">
        <f>IF(A188="","",COUNTIFS('Stability Checks'!$A$5:$A$2000,A188,'Stability Checks'!$C$5:$C$2000,"Re-execution",'Stability Checks'!$E$5:$E$2000,"Pass"))</f>
        <v/>
      </c>
      <c r="Q188" s="56">
        <f>IF(A188="","",COUNTIFS('Stability Checks'!$A$5:$A$2000,A188,'Stability Checks'!$C$5:$C$2000,"Re-prompt",'Stability Checks'!$E$5:$E$2000,"Pass"))</f>
        <v/>
      </c>
      <c r="R188" s="47">
        <f>IF(A188="","",'Run Plan'!Q188)</f>
        <v/>
      </c>
      <c r="S188" s="50" t="n"/>
    </row>
    <row r="189" ht="15.75" customHeight="1" s="40">
      <c r="A189" s="55">
        <f>IF('Run Plan'!A189="","",'Run Plan'!A189)</f>
        <v/>
      </c>
      <c r="B189" s="55">
        <f>IF(A189="","",'Run Plan'!C189)</f>
        <v/>
      </c>
      <c r="C189" s="55">
        <f>IF(A189="","",'Run Plan'!E189)</f>
        <v/>
      </c>
      <c r="D189" s="54">
        <f>IF(A189="","",'Run Plan'!G189)</f>
        <v/>
      </c>
      <c r="E189" s="47">
        <f>IF(A189="","",'Run Plan'!K189)</f>
        <v/>
      </c>
      <c r="F189" s="47">
        <f>IF(A189="","",'Run Plan'!J189)</f>
        <v/>
      </c>
      <c r="G189" s="56">
        <f>IF(A189="","",COUNTIF('Turn Log'!$B$5:$B$5000,A189))</f>
        <v/>
      </c>
      <c r="H189" s="56">
        <f>IF(A189="","",IFERROR(MINIFS('Turn Log'!$C$5:$C$5000,'Turn Log'!$B$5:$B$5000,A189,'Turn Log'!$Q$5:$Q$5000,"Pass"),""))</f>
        <v/>
      </c>
      <c r="I189" s="56">
        <f>IF(A189="","",IFERROR(MAXIFS('Turn Log'!$C$5:$C$5000,'Turn Log'!$B$5:$B$5000,A189),""))</f>
        <v/>
      </c>
      <c r="J189" s="56">
        <f>IF(A189="","",IFERROR(INDEX('Turn Log'!$Q$5:$Q$5000,MATCH(1,('Turn Log'!$B$5:$B$5000=A189)*('Turn Log'!$C$5:$C$5000=I189),0)),""))</f>
        <v/>
      </c>
      <c r="K189" s="56">
        <f>IF(A189="","",IFERROR(INDEX('Turn Log'!$R$5:$R$5000,MATCH(1,('Turn Log'!$B$5:$B$5000=A189)*('Turn Log'!$C$5:$C$5000=I189),0)),""))</f>
        <v/>
      </c>
      <c r="L189" s="56">
        <f>IF(A189="","",COUNTIFS('Turn Log'!$B$5:$B$5000,A189,'Turn Log'!$X$5:$X$5000,1))</f>
        <v/>
      </c>
      <c r="M189" s="56">
        <f>IF(A189="","",COUNTIFS('Turn Log'!$B$5:$B$5000,A189,'Turn Log'!$Y$5:$Y$5000,1))</f>
        <v/>
      </c>
      <c r="N189" s="56">
        <f>IF(A189="","",COUNTIFS('Turn Log'!$B$5:$B$5000,A189,'Turn Log'!$W$5:$W$5000,1))</f>
        <v/>
      </c>
      <c r="O189" s="56">
        <f>IF(H189="","No","Yes")</f>
        <v/>
      </c>
      <c r="P189" s="56">
        <f>IF(A189="","",COUNTIFS('Stability Checks'!$A$5:$A$2000,A189,'Stability Checks'!$C$5:$C$2000,"Re-execution",'Stability Checks'!$E$5:$E$2000,"Pass"))</f>
        <v/>
      </c>
      <c r="Q189" s="56">
        <f>IF(A189="","",COUNTIFS('Stability Checks'!$A$5:$A$2000,A189,'Stability Checks'!$C$5:$C$2000,"Re-prompt",'Stability Checks'!$E$5:$E$2000,"Pass"))</f>
        <v/>
      </c>
      <c r="R189" s="47">
        <f>IF(A189="","",'Run Plan'!Q189)</f>
        <v/>
      </c>
      <c r="S189" s="50" t="n"/>
    </row>
    <row r="190" ht="15.75" customHeight="1" s="40">
      <c r="A190" s="55">
        <f>IF('Run Plan'!A190="","",'Run Plan'!A190)</f>
        <v/>
      </c>
      <c r="B190" s="55">
        <f>IF(A190="","",'Run Plan'!C190)</f>
        <v/>
      </c>
      <c r="C190" s="55">
        <f>IF(A190="","",'Run Plan'!E190)</f>
        <v/>
      </c>
      <c r="D190" s="54">
        <f>IF(A190="","",'Run Plan'!G190)</f>
        <v/>
      </c>
      <c r="E190" s="47">
        <f>IF(A190="","",'Run Plan'!K190)</f>
        <v/>
      </c>
      <c r="F190" s="47">
        <f>IF(A190="","",'Run Plan'!J190)</f>
        <v/>
      </c>
      <c r="G190" s="56">
        <f>IF(A190="","",COUNTIF('Turn Log'!$B$5:$B$5000,A190))</f>
        <v/>
      </c>
      <c r="H190" s="56">
        <f>IF(A190="","",IFERROR(MINIFS('Turn Log'!$C$5:$C$5000,'Turn Log'!$B$5:$B$5000,A190,'Turn Log'!$Q$5:$Q$5000,"Pass"),""))</f>
        <v/>
      </c>
      <c r="I190" s="56">
        <f>IF(A190="","",IFERROR(MAXIFS('Turn Log'!$C$5:$C$5000,'Turn Log'!$B$5:$B$5000,A190),""))</f>
        <v/>
      </c>
      <c r="J190" s="56">
        <f>IF(A190="","",IFERROR(INDEX('Turn Log'!$Q$5:$Q$5000,MATCH(1,('Turn Log'!$B$5:$B$5000=A190)*('Turn Log'!$C$5:$C$5000=I190),0)),""))</f>
        <v/>
      </c>
      <c r="K190" s="56">
        <f>IF(A190="","",IFERROR(INDEX('Turn Log'!$R$5:$R$5000,MATCH(1,('Turn Log'!$B$5:$B$5000=A190)*('Turn Log'!$C$5:$C$5000=I190),0)),""))</f>
        <v/>
      </c>
      <c r="L190" s="56">
        <f>IF(A190="","",COUNTIFS('Turn Log'!$B$5:$B$5000,A190,'Turn Log'!$X$5:$X$5000,1))</f>
        <v/>
      </c>
      <c r="M190" s="56">
        <f>IF(A190="","",COUNTIFS('Turn Log'!$B$5:$B$5000,A190,'Turn Log'!$Y$5:$Y$5000,1))</f>
        <v/>
      </c>
      <c r="N190" s="56">
        <f>IF(A190="","",COUNTIFS('Turn Log'!$B$5:$B$5000,A190,'Turn Log'!$W$5:$W$5000,1))</f>
        <v/>
      </c>
      <c r="O190" s="56">
        <f>IF(H190="","No","Yes")</f>
        <v/>
      </c>
      <c r="P190" s="56">
        <f>IF(A190="","",COUNTIFS('Stability Checks'!$A$5:$A$2000,A190,'Stability Checks'!$C$5:$C$2000,"Re-execution",'Stability Checks'!$E$5:$E$2000,"Pass"))</f>
        <v/>
      </c>
      <c r="Q190" s="56">
        <f>IF(A190="","",COUNTIFS('Stability Checks'!$A$5:$A$2000,A190,'Stability Checks'!$C$5:$C$2000,"Re-prompt",'Stability Checks'!$E$5:$E$2000,"Pass"))</f>
        <v/>
      </c>
      <c r="R190" s="47">
        <f>IF(A190="","",'Run Plan'!Q190)</f>
        <v/>
      </c>
      <c r="S190" s="50" t="n"/>
    </row>
    <row r="191" ht="15.75" customHeight="1" s="40">
      <c r="A191" s="55">
        <f>IF('Run Plan'!A191="","",'Run Plan'!A191)</f>
        <v/>
      </c>
      <c r="B191" s="55">
        <f>IF(A191="","",'Run Plan'!C191)</f>
        <v/>
      </c>
      <c r="C191" s="55">
        <f>IF(A191="","",'Run Plan'!E191)</f>
        <v/>
      </c>
      <c r="D191" s="54">
        <f>IF(A191="","",'Run Plan'!G191)</f>
        <v/>
      </c>
      <c r="E191" s="47">
        <f>IF(A191="","",'Run Plan'!K191)</f>
        <v/>
      </c>
      <c r="F191" s="47">
        <f>IF(A191="","",'Run Plan'!J191)</f>
        <v/>
      </c>
      <c r="G191" s="56">
        <f>IF(A191="","",COUNTIF('Turn Log'!$B$5:$B$5000,A191))</f>
        <v/>
      </c>
      <c r="H191" s="56">
        <f>IF(A191="","",IFERROR(MINIFS('Turn Log'!$C$5:$C$5000,'Turn Log'!$B$5:$B$5000,A191,'Turn Log'!$Q$5:$Q$5000,"Pass"),""))</f>
        <v/>
      </c>
      <c r="I191" s="56">
        <f>IF(A191="","",IFERROR(MAXIFS('Turn Log'!$C$5:$C$5000,'Turn Log'!$B$5:$B$5000,A191),""))</f>
        <v/>
      </c>
      <c r="J191" s="56">
        <f>IF(A191="","",IFERROR(INDEX('Turn Log'!$Q$5:$Q$5000,MATCH(1,('Turn Log'!$B$5:$B$5000=A191)*('Turn Log'!$C$5:$C$5000=I191),0)),""))</f>
        <v/>
      </c>
      <c r="K191" s="56">
        <f>IF(A191="","",IFERROR(INDEX('Turn Log'!$R$5:$R$5000,MATCH(1,('Turn Log'!$B$5:$B$5000=A191)*('Turn Log'!$C$5:$C$5000=I191),0)),""))</f>
        <v/>
      </c>
      <c r="L191" s="56">
        <f>IF(A191="","",COUNTIFS('Turn Log'!$B$5:$B$5000,A191,'Turn Log'!$X$5:$X$5000,1))</f>
        <v/>
      </c>
      <c r="M191" s="56">
        <f>IF(A191="","",COUNTIFS('Turn Log'!$B$5:$B$5000,A191,'Turn Log'!$Y$5:$Y$5000,1))</f>
        <v/>
      </c>
      <c r="N191" s="56">
        <f>IF(A191="","",COUNTIFS('Turn Log'!$B$5:$B$5000,A191,'Turn Log'!$W$5:$W$5000,1))</f>
        <v/>
      </c>
      <c r="O191" s="56">
        <f>IF(H191="","No","Yes")</f>
        <v/>
      </c>
      <c r="P191" s="56">
        <f>IF(A191="","",COUNTIFS('Stability Checks'!$A$5:$A$2000,A191,'Stability Checks'!$C$5:$C$2000,"Re-execution",'Stability Checks'!$E$5:$E$2000,"Pass"))</f>
        <v/>
      </c>
      <c r="Q191" s="56">
        <f>IF(A191="","",COUNTIFS('Stability Checks'!$A$5:$A$2000,A191,'Stability Checks'!$C$5:$C$2000,"Re-prompt",'Stability Checks'!$E$5:$E$2000,"Pass"))</f>
        <v/>
      </c>
      <c r="R191" s="47">
        <f>IF(A191="","",'Run Plan'!Q191)</f>
        <v/>
      </c>
      <c r="S191" s="50" t="n"/>
    </row>
    <row r="192" ht="15.75" customHeight="1" s="40">
      <c r="A192" s="55">
        <f>IF('Run Plan'!A192="","",'Run Plan'!A192)</f>
        <v/>
      </c>
      <c r="B192" s="55">
        <f>IF(A192="","",'Run Plan'!C192)</f>
        <v/>
      </c>
      <c r="C192" s="55">
        <f>IF(A192="","",'Run Plan'!E192)</f>
        <v/>
      </c>
      <c r="D192" s="54">
        <f>IF(A192="","",'Run Plan'!G192)</f>
        <v/>
      </c>
      <c r="E192" s="47">
        <f>IF(A192="","",'Run Plan'!K192)</f>
        <v/>
      </c>
      <c r="F192" s="47">
        <f>IF(A192="","",'Run Plan'!J192)</f>
        <v/>
      </c>
      <c r="G192" s="56">
        <f>IF(A192="","",COUNTIF('Turn Log'!$B$5:$B$5000,A192))</f>
        <v/>
      </c>
      <c r="H192" s="56">
        <f>IF(A192="","",IFERROR(MINIFS('Turn Log'!$C$5:$C$5000,'Turn Log'!$B$5:$B$5000,A192,'Turn Log'!$Q$5:$Q$5000,"Pass"),""))</f>
        <v/>
      </c>
      <c r="I192" s="56">
        <f>IF(A192="","",IFERROR(MAXIFS('Turn Log'!$C$5:$C$5000,'Turn Log'!$B$5:$B$5000,A192),""))</f>
        <v/>
      </c>
      <c r="J192" s="56">
        <f>IF(A192="","",IFERROR(INDEX('Turn Log'!$Q$5:$Q$5000,MATCH(1,('Turn Log'!$B$5:$B$5000=A192)*('Turn Log'!$C$5:$C$5000=I192),0)),""))</f>
        <v/>
      </c>
      <c r="K192" s="56">
        <f>IF(A192="","",IFERROR(INDEX('Turn Log'!$R$5:$R$5000,MATCH(1,('Turn Log'!$B$5:$B$5000=A192)*('Turn Log'!$C$5:$C$5000=I192),0)),""))</f>
        <v/>
      </c>
      <c r="L192" s="56">
        <f>IF(A192="","",COUNTIFS('Turn Log'!$B$5:$B$5000,A192,'Turn Log'!$X$5:$X$5000,1))</f>
        <v/>
      </c>
      <c r="M192" s="56">
        <f>IF(A192="","",COUNTIFS('Turn Log'!$B$5:$B$5000,A192,'Turn Log'!$Y$5:$Y$5000,1))</f>
        <v/>
      </c>
      <c r="N192" s="56">
        <f>IF(A192="","",COUNTIFS('Turn Log'!$B$5:$B$5000,A192,'Turn Log'!$W$5:$W$5000,1))</f>
        <v/>
      </c>
      <c r="O192" s="56">
        <f>IF(H192="","No","Yes")</f>
        <v/>
      </c>
      <c r="P192" s="56">
        <f>IF(A192="","",COUNTIFS('Stability Checks'!$A$5:$A$2000,A192,'Stability Checks'!$C$5:$C$2000,"Re-execution",'Stability Checks'!$E$5:$E$2000,"Pass"))</f>
        <v/>
      </c>
      <c r="Q192" s="56">
        <f>IF(A192="","",COUNTIFS('Stability Checks'!$A$5:$A$2000,A192,'Stability Checks'!$C$5:$C$2000,"Re-prompt",'Stability Checks'!$E$5:$E$2000,"Pass"))</f>
        <v/>
      </c>
      <c r="R192" s="47">
        <f>IF(A192="","",'Run Plan'!Q192)</f>
        <v/>
      </c>
      <c r="S192" s="50" t="n"/>
    </row>
    <row r="193" ht="15.75" customHeight="1" s="40">
      <c r="A193" s="55">
        <f>IF('Run Plan'!A193="","",'Run Plan'!A193)</f>
        <v/>
      </c>
      <c r="B193" s="55">
        <f>IF(A193="","",'Run Plan'!C193)</f>
        <v/>
      </c>
      <c r="C193" s="55">
        <f>IF(A193="","",'Run Plan'!E193)</f>
        <v/>
      </c>
      <c r="D193" s="54">
        <f>IF(A193="","",'Run Plan'!G193)</f>
        <v/>
      </c>
      <c r="E193" s="47">
        <f>IF(A193="","",'Run Plan'!K193)</f>
        <v/>
      </c>
      <c r="F193" s="47">
        <f>IF(A193="","",'Run Plan'!J193)</f>
        <v/>
      </c>
      <c r="G193" s="56">
        <f>IF(A193="","",COUNTIF('Turn Log'!$B$5:$B$5000,A193))</f>
        <v/>
      </c>
      <c r="H193" s="56">
        <f>IF(A193="","",IFERROR(MINIFS('Turn Log'!$C$5:$C$5000,'Turn Log'!$B$5:$B$5000,A193,'Turn Log'!$Q$5:$Q$5000,"Pass"),""))</f>
        <v/>
      </c>
      <c r="I193" s="56">
        <f>IF(A193="","",IFERROR(MAXIFS('Turn Log'!$C$5:$C$5000,'Turn Log'!$B$5:$B$5000,A193),""))</f>
        <v/>
      </c>
      <c r="J193" s="56">
        <f>IF(A193="","",IFERROR(INDEX('Turn Log'!$Q$5:$Q$5000,MATCH(1,('Turn Log'!$B$5:$B$5000=A193)*('Turn Log'!$C$5:$C$5000=I193),0)),""))</f>
        <v/>
      </c>
      <c r="K193" s="56">
        <f>IF(A193="","",IFERROR(INDEX('Turn Log'!$R$5:$R$5000,MATCH(1,('Turn Log'!$B$5:$B$5000=A193)*('Turn Log'!$C$5:$C$5000=I193),0)),""))</f>
        <v/>
      </c>
      <c r="L193" s="56">
        <f>IF(A193="","",COUNTIFS('Turn Log'!$B$5:$B$5000,A193,'Turn Log'!$X$5:$X$5000,1))</f>
        <v/>
      </c>
      <c r="M193" s="56">
        <f>IF(A193="","",COUNTIFS('Turn Log'!$B$5:$B$5000,A193,'Turn Log'!$Y$5:$Y$5000,1))</f>
        <v/>
      </c>
      <c r="N193" s="56">
        <f>IF(A193="","",COUNTIFS('Turn Log'!$B$5:$B$5000,A193,'Turn Log'!$W$5:$W$5000,1))</f>
        <v/>
      </c>
      <c r="O193" s="56">
        <f>IF(H193="","No","Yes")</f>
        <v/>
      </c>
      <c r="P193" s="56">
        <f>IF(A193="","",COUNTIFS('Stability Checks'!$A$5:$A$2000,A193,'Stability Checks'!$C$5:$C$2000,"Re-execution",'Stability Checks'!$E$5:$E$2000,"Pass"))</f>
        <v/>
      </c>
      <c r="Q193" s="56">
        <f>IF(A193="","",COUNTIFS('Stability Checks'!$A$5:$A$2000,A193,'Stability Checks'!$C$5:$C$2000,"Re-prompt",'Stability Checks'!$E$5:$E$2000,"Pass"))</f>
        <v/>
      </c>
      <c r="R193" s="47">
        <f>IF(A193="","",'Run Plan'!Q193)</f>
        <v/>
      </c>
      <c r="S193" s="50" t="n"/>
    </row>
    <row r="194" ht="15.75" customHeight="1" s="40">
      <c r="A194" s="55">
        <f>IF('Run Plan'!A194="","",'Run Plan'!A194)</f>
        <v/>
      </c>
      <c r="B194" s="55">
        <f>IF(A194="","",'Run Plan'!C194)</f>
        <v/>
      </c>
      <c r="C194" s="55">
        <f>IF(A194="","",'Run Plan'!E194)</f>
        <v/>
      </c>
      <c r="D194" s="54">
        <f>IF(A194="","",'Run Plan'!G194)</f>
        <v/>
      </c>
      <c r="E194" s="47">
        <f>IF(A194="","",'Run Plan'!K194)</f>
        <v/>
      </c>
      <c r="F194" s="47">
        <f>IF(A194="","",'Run Plan'!J194)</f>
        <v/>
      </c>
      <c r="G194" s="56">
        <f>IF(A194="","",COUNTIF('Turn Log'!$B$5:$B$5000,A194))</f>
        <v/>
      </c>
      <c r="H194" s="56">
        <f>IF(A194="","",IFERROR(MINIFS('Turn Log'!$C$5:$C$5000,'Turn Log'!$B$5:$B$5000,A194,'Turn Log'!$Q$5:$Q$5000,"Pass"),""))</f>
        <v/>
      </c>
      <c r="I194" s="56">
        <f>IF(A194="","",IFERROR(MAXIFS('Turn Log'!$C$5:$C$5000,'Turn Log'!$B$5:$B$5000,A194),""))</f>
        <v/>
      </c>
      <c r="J194" s="56">
        <f>IF(A194="","",IFERROR(INDEX('Turn Log'!$Q$5:$Q$5000,MATCH(1,('Turn Log'!$B$5:$B$5000=A194)*('Turn Log'!$C$5:$C$5000=I194),0)),""))</f>
        <v/>
      </c>
      <c r="K194" s="56">
        <f>IF(A194="","",IFERROR(INDEX('Turn Log'!$R$5:$R$5000,MATCH(1,('Turn Log'!$B$5:$B$5000=A194)*('Turn Log'!$C$5:$C$5000=I194),0)),""))</f>
        <v/>
      </c>
      <c r="L194" s="56">
        <f>IF(A194="","",COUNTIFS('Turn Log'!$B$5:$B$5000,A194,'Turn Log'!$X$5:$X$5000,1))</f>
        <v/>
      </c>
      <c r="M194" s="56">
        <f>IF(A194="","",COUNTIFS('Turn Log'!$B$5:$B$5000,A194,'Turn Log'!$Y$5:$Y$5000,1))</f>
        <v/>
      </c>
      <c r="N194" s="56">
        <f>IF(A194="","",COUNTIFS('Turn Log'!$B$5:$B$5000,A194,'Turn Log'!$W$5:$W$5000,1))</f>
        <v/>
      </c>
      <c r="O194" s="56">
        <f>IF(H194="","No","Yes")</f>
        <v/>
      </c>
      <c r="P194" s="56">
        <f>IF(A194="","",COUNTIFS('Stability Checks'!$A$5:$A$2000,A194,'Stability Checks'!$C$5:$C$2000,"Re-execution",'Stability Checks'!$E$5:$E$2000,"Pass"))</f>
        <v/>
      </c>
      <c r="Q194" s="56">
        <f>IF(A194="","",COUNTIFS('Stability Checks'!$A$5:$A$2000,A194,'Stability Checks'!$C$5:$C$2000,"Re-prompt",'Stability Checks'!$E$5:$E$2000,"Pass"))</f>
        <v/>
      </c>
      <c r="R194" s="47">
        <f>IF(A194="","",'Run Plan'!Q194)</f>
        <v/>
      </c>
      <c r="S194" s="50" t="n"/>
    </row>
    <row r="195" ht="15.75" customHeight="1" s="40">
      <c r="A195" s="55">
        <f>IF('Run Plan'!A195="","",'Run Plan'!A195)</f>
        <v/>
      </c>
      <c r="B195" s="55">
        <f>IF(A195="","",'Run Plan'!C195)</f>
        <v/>
      </c>
      <c r="C195" s="55">
        <f>IF(A195="","",'Run Plan'!E195)</f>
        <v/>
      </c>
      <c r="D195" s="54">
        <f>IF(A195="","",'Run Plan'!G195)</f>
        <v/>
      </c>
      <c r="E195" s="47">
        <f>IF(A195="","",'Run Plan'!K195)</f>
        <v/>
      </c>
      <c r="F195" s="47">
        <f>IF(A195="","",'Run Plan'!J195)</f>
        <v/>
      </c>
      <c r="G195" s="56">
        <f>IF(A195="","",COUNTIF('Turn Log'!$B$5:$B$5000,A195))</f>
        <v/>
      </c>
      <c r="H195" s="56">
        <f>IF(A195="","",IFERROR(MINIFS('Turn Log'!$C$5:$C$5000,'Turn Log'!$B$5:$B$5000,A195,'Turn Log'!$Q$5:$Q$5000,"Pass"),""))</f>
        <v/>
      </c>
      <c r="I195" s="56">
        <f>IF(A195="","",IFERROR(MAXIFS('Turn Log'!$C$5:$C$5000,'Turn Log'!$B$5:$B$5000,A195),""))</f>
        <v/>
      </c>
      <c r="J195" s="56">
        <f>IF(A195="","",IFERROR(INDEX('Turn Log'!$Q$5:$Q$5000,MATCH(1,('Turn Log'!$B$5:$B$5000=A195)*('Turn Log'!$C$5:$C$5000=I195),0)),""))</f>
        <v/>
      </c>
      <c r="K195" s="56">
        <f>IF(A195="","",IFERROR(INDEX('Turn Log'!$R$5:$R$5000,MATCH(1,('Turn Log'!$B$5:$B$5000=A195)*('Turn Log'!$C$5:$C$5000=I195),0)),""))</f>
        <v/>
      </c>
      <c r="L195" s="56">
        <f>IF(A195="","",COUNTIFS('Turn Log'!$B$5:$B$5000,A195,'Turn Log'!$X$5:$X$5000,1))</f>
        <v/>
      </c>
      <c r="M195" s="56">
        <f>IF(A195="","",COUNTIFS('Turn Log'!$B$5:$B$5000,A195,'Turn Log'!$Y$5:$Y$5000,1))</f>
        <v/>
      </c>
      <c r="N195" s="56">
        <f>IF(A195="","",COUNTIFS('Turn Log'!$B$5:$B$5000,A195,'Turn Log'!$W$5:$W$5000,1))</f>
        <v/>
      </c>
      <c r="O195" s="56">
        <f>IF(H195="","No","Yes")</f>
        <v/>
      </c>
      <c r="P195" s="56">
        <f>IF(A195="","",COUNTIFS('Stability Checks'!$A$5:$A$2000,A195,'Stability Checks'!$C$5:$C$2000,"Re-execution",'Stability Checks'!$E$5:$E$2000,"Pass"))</f>
        <v/>
      </c>
      <c r="Q195" s="56">
        <f>IF(A195="","",COUNTIFS('Stability Checks'!$A$5:$A$2000,A195,'Stability Checks'!$C$5:$C$2000,"Re-prompt",'Stability Checks'!$E$5:$E$2000,"Pass"))</f>
        <v/>
      </c>
      <c r="R195" s="47">
        <f>IF(A195="","",'Run Plan'!Q195)</f>
        <v/>
      </c>
      <c r="S195" s="50" t="n"/>
    </row>
    <row r="196" ht="15.75" customHeight="1" s="40">
      <c r="A196" s="55">
        <f>IF('Run Plan'!A196="","",'Run Plan'!A196)</f>
        <v/>
      </c>
      <c r="B196" s="55">
        <f>IF(A196="","",'Run Plan'!C196)</f>
        <v/>
      </c>
      <c r="C196" s="55">
        <f>IF(A196="","",'Run Plan'!E196)</f>
        <v/>
      </c>
      <c r="D196" s="54">
        <f>IF(A196="","",'Run Plan'!G196)</f>
        <v/>
      </c>
      <c r="E196" s="47">
        <f>IF(A196="","",'Run Plan'!K196)</f>
        <v/>
      </c>
      <c r="F196" s="47">
        <f>IF(A196="","",'Run Plan'!J196)</f>
        <v/>
      </c>
      <c r="G196" s="56">
        <f>IF(A196="","",COUNTIF('Turn Log'!$B$5:$B$5000,A196))</f>
        <v/>
      </c>
      <c r="H196" s="56">
        <f>IF(A196="","",IFERROR(MINIFS('Turn Log'!$C$5:$C$5000,'Turn Log'!$B$5:$B$5000,A196,'Turn Log'!$Q$5:$Q$5000,"Pass"),""))</f>
        <v/>
      </c>
      <c r="I196" s="56">
        <f>IF(A196="","",IFERROR(MAXIFS('Turn Log'!$C$5:$C$5000,'Turn Log'!$B$5:$B$5000,A196),""))</f>
        <v/>
      </c>
      <c r="J196" s="56">
        <f>IF(A196="","",IFERROR(INDEX('Turn Log'!$Q$5:$Q$5000,MATCH(1,('Turn Log'!$B$5:$B$5000=A196)*('Turn Log'!$C$5:$C$5000=I196),0)),""))</f>
        <v/>
      </c>
      <c r="K196" s="56">
        <f>IF(A196="","",IFERROR(INDEX('Turn Log'!$R$5:$R$5000,MATCH(1,('Turn Log'!$B$5:$B$5000=A196)*('Turn Log'!$C$5:$C$5000=I196),0)),""))</f>
        <v/>
      </c>
      <c r="L196" s="56">
        <f>IF(A196="","",COUNTIFS('Turn Log'!$B$5:$B$5000,A196,'Turn Log'!$X$5:$X$5000,1))</f>
        <v/>
      </c>
      <c r="M196" s="56">
        <f>IF(A196="","",COUNTIFS('Turn Log'!$B$5:$B$5000,A196,'Turn Log'!$Y$5:$Y$5000,1))</f>
        <v/>
      </c>
      <c r="N196" s="56">
        <f>IF(A196="","",COUNTIFS('Turn Log'!$B$5:$B$5000,A196,'Turn Log'!$W$5:$W$5000,1))</f>
        <v/>
      </c>
      <c r="O196" s="56">
        <f>IF(H196="","No","Yes")</f>
        <v/>
      </c>
      <c r="P196" s="56">
        <f>IF(A196="","",COUNTIFS('Stability Checks'!$A$5:$A$2000,A196,'Stability Checks'!$C$5:$C$2000,"Re-execution",'Stability Checks'!$E$5:$E$2000,"Pass"))</f>
        <v/>
      </c>
      <c r="Q196" s="56">
        <f>IF(A196="","",COUNTIFS('Stability Checks'!$A$5:$A$2000,A196,'Stability Checks'!$C$5:$C$2000,"Re-prompt",'Stability Checks'!$E$5:$E$2000,"Pass"))</f>
        <v/>
      </c>
      <c r="R196" s="47">
        <f>IF(A196="","",'Run Plan'!Q196)</f>
        <v/>
      </c>
      <c r="S196" s="50" t="n"/>
    </row>
    <row r="197" ht="15.75" customHeight="1" s="40">
      <c r="A197" s="55">
        <f>IF('Run Plan'!A197="","",'Run Plan'!A197)</f>
        <v/>
      </c>
      <c r="B197" s="55">
        <f>IF(A197="","",'Run Plan'!C197)</f>
        <v/>
      </c>
      <c r="C197" s="55">
        <f>IF(A197="","",'Run Plan'!E197)</f>
        <v/>
      </c>
      <c r="D197" s="54">
        <f>IF(A197="","",'Run Plan'!G197)</f>
        <v/>
      </c>
      <c r="E197" s="47">
        <f>IF(A197="","",'Run Plan'!K197)</f>
        <v/>
      </c>
      <c r="F197" s="47">
        <f>IF(A197="","",'Run Plan'!J197)</f>
        <v/>
      </c>
      <c r="G197" s="56">
        <f>IF(A197="","",COUNTIF('Turn Log'!$B$5:$B$5000,A197))</f>
        <v/>
      </c>
      <c r="H197" s="56">
        <f>IF(A197="","",IFERROR(MINIFS('Turn Log'!$C$5:$C$5000,'Turn Log'!$B$5:$B$5000,A197,'Turn Log'!$Q$5:$Q$5000,"Pass"),""))</f>
        <v/>
      </c>
      <c r="I197" s="56">
        <f>IF(A197="","",IFERROR(MAXIFS('Turn Log'!$C$5:$C$5000,'Turn Log'!$B$5:$B$5000,A197),""))</f>
        <v/>
      </c>
      <c r="J197" s="56">
        <f>IF(A197="","",IFERROR(INDEX('Turn Log'!$Q$5:$Q$5000,MATCH(1,('Turn Log'!$B$5:$B$5000=A197)*('Turn Log'!$C$5:$C$5000=I197),0)),""))</f>
        <v/>
      </c>
      <c r="K197" s="56">
        <f>IF(A197="","",IFERROR(INDEX('Turn Log'!$R$5:$R$5000,MATCH(1,('Turn Log'!$B$5:$B$5000=A197)*('Turn Log'!$C$5:$C$5000=I197),0)),""))</f>
        <v/>
      </c>
      <c r="L197" s="56">
        <f>IF(A197="","",COUNTIFS('Turn Log'!$B$5:$B$5000,A197,'Turn Log'!$X$5:$X$5000,1))</f>
        <v/>
      </c>
      <c r="M197" s="56">
        <f>IF(A197="","",COUNTIFS('Turn Log'!$B$5:$B$5000,A197,'Turn Log'!$Y$5:$Y$5000,1))</f>
        <v/>
      </c>
      <c r="N197" s="56">
        <f>IF(A197="","",COUNTIFS('Turn Log'!$B$5:$B$5000,A197,'Turn Log'!$W$5:$W$5000,1))</f>
        <v/>
      </c>
      <c r="O197" s="56">
        <f>IF(H197="","No","Yes")</f>
        <v/>
      </c>
      <c r="P197" s="56">
        <f>IF(A197="","",COUNTIFS('Stability Checks'!$A$5:$A$2000,A197,'Stability Checks'!$C$5:$C$2000,"Re-execution",'Stability Checks'!$E$5:$E$2000,"Pass"))</f>
        <v/>
      </c>
      <c r="Q197" s="56">
        <f>IF(A197="","",COUNTIFS('Stability Checks'!$A$5:$A$2000,A197,'Stability Checks'!$C$5:$C$2000,"Re-prompt",'Stability Checks'!$E$5:$E$2000,"Pass"))</f>
        <v/>
      </c>
      <c r="R197" s="47">
        <f>IF(A197="","",'Run Plan'!Q197)</f>
        <v/>
      </c>
      <c r="S197" s="50" t="n"/>
    </row>
    <row r="198" ht="15.75" customHeight="1" s="40">
      <c r="A198" s="55">
        <f>IF('Run Plan'!A198="","",'Run Plan'!A198)</f>
        <v/>
      </c>
      <c r="B198" s="55">
        <f>IF(A198="","",'Run Plan'!C198)</f>
        <v/>
      </c>
      <c r="C198" s="55">
        <f>IF(A198="","",'Run Plan'!E198)</f>
        <v/>
      </c>
      <c r="D198" s="54">
        <f>IF(A198="","",'Run Plan'!G198)</f>
        <v/>
      </c>
      <c r="E198" s="47">
        <f>IF(A198="","",'Run Plan'!K198)</f>
        <v/>
      </c>
      <c r="F198" s="47">
        <f>IF(A198="","",'Run Plan'!J198)</f>
        <v/>
      </c>
      <c r="G198" s="56">
        <f>IF(A198="","",COUNTIF('Turn Log'!$B$5:$B$5000,A198))</f>
        <v/>
      </c>
      <c r="H198" s="56">
        <f>IF(A198="","",IFERROR(MINIFS('Turn Log'!$C$5:$C$5000,'Turn Log'!$B$5:$B$5000,A198,'Turn Log'!$Q$5:$Q$5000,"Pass"),""))</f>
        <v/>
      </c>
      <c r="I198" s="56">
        <f>IF(A198="","",IFERROR(MAXIFS('Turn Log'!$C$5:$C$5000,'Turn Log'!$B$5:$B$5000,A198),""))</f>
        <v/>
      </c>
      <c r="J198" s="56">
        <f>IF(A198="","",IFERROR(INDEX('Turn Log'!$Q$5:$Q$5000,MATCH(1,('Turn Log'!$B$5:$B$5000=A198)*('Turn Log'!$C$5:$C$5000=I198),0)),""))</f>
        <v/>
      </c>
      <c r="K198" s="56">
        <f>IF(A198="","",IFERROR(INDEX('Turn Log'!$R$5:$R$5000,MATCH(1,('Turn Log'!$B$5:$B$5000=A198)*('Turn Log'!$C$5:$C$5000=I198),0)),""))</f>
        <v/>
      </c>
      <c r="L198" s="56">
        <f>IF(A198="","",COUNTIFS('Turn Log'!$B$5:$B$5000,A198,'Turn Log'!$X$5:$X$5000,1))</f>
        <v/>
      </c>
      <c r="M198" s="56">
        <f>IF(A198="","",COUNTIFS('Turn Log'!$B$5:$B$5000,A198,'Turn Log'!$Y$5:$Y$5000,1))</f>
        <v/>
      </c>
      <c r="N198" s="56">
        <f>IF(A198="","",COUNTIFS('Turn Log'!$B$5:$B$5000,A198,'Turn Log'!$W$5:$W$5000,1))</f>
        <v/>
      </c>
      <c r="O198" s="56">
        <f>IF(H198="","No","Yes")</f>
        <v/>
      </c>
      <c r="P198" s="56">
        <f>IF(A198="","",COUNTIFS('Stability Checks'!$A$5:$A$2000,A198,'Stability Checks'!$C$5:$C$2000,"Re-execution",'Stability Checks'!$E$5:$E$2000,"Pass"))</f>
        <v/>
      </c>
      <c r="Q198" s="56">
        <f>IF(A198="","",COUNTIFS('Stability Checks'!$A$5:$A$2000,A198,'Stability Checks'!$C$5:$C$2000,"Re-prompt",'Stability Checks'!$E$5:$E$2000,"Pass"))</f>
        <v/>
      </c>
      <c r="R198" s="47">
        <f>IF(A198="","",'Run Plan'!Q198)</f>
        <v/>
      </c>
      <c r="S198" s="50" t="n"/>
    </row>
    <row r="199" ht="15.75" customHeight="1" s="40">
      <c r="A199" s="55">
        <f>IF('Run Plan'!A199="","",'Run Plan'!A199)</f>
        <v/>
      </c>
      <c r="B199" s="55">
        <f>IF(A199="","",'Run Plan'!C199)</f>
        <v/>
      </c>
      <c r="C199" s="55">
        <f>IF(A199="","",'Run Plan'!E199)</f>
        <v/>
      </c>
      <c r="D199" s="54">
        <f>IF(A199="","",'Run Plan'!G199)</f>
        <v/>
      </c>
      <c r="E199" s="47">
        <f>IF(A199="","",'Run Plan'!K199)</f>
        <v/>
      </c>
      <c r="F199" s="47">
        <f>IF(A199="","",'Run Plan'!J199)</f>
        <v/>
      </c>
      <c r="G199" s="56">
        <f>IF(A199="","",COUNTIF('Turn Log'!$B$5:$B$5000,A199))</f>
        <v/>
      </c>
      <c r="H199" s="56">
        <f>IF(A199="","",IFERROR(MINIFS('Turn Log'!$C$5:$C$5000,'Turn Log'!$B$5:$B$5000,A199,'Turn Log'!$Q$5:$Q$5000,"Pass"),""))</f>
        <v/>
      </c>
      <c r="I199" s="56">
        <f>IF(A199="","",IFERROR(MAXIFS('Turn Log'!$C$5:$C$5000,'Turn Log'!$B$5:$B$5000,A199),""))</f>
        <v/>
      </c>
      <c r="J199" s="56">
        <f>IF(A199="","",IFERROR(INDEX('Turn Log'!$Q$5:$Q$5000,MATCH(1,('Turn Log'!$B$5:$B$5000=A199)*('Turn Log'!$C$5:$C$5000=I199),0)),""))</f>
        <v/>
      </c>
      <c r="K199" s="56">
        <f>IF(A199="","",IFERROR(INDEX('Turn Log'!$R$5:$R$5000,MATCH(1,('Turn Log'!$B$5:$B$5000=A199)*('Turn Log'!$C$5:$C$5000=I199),0)),""))</f>
        <v/>
      </c>
      <c r="L199" s="56">
        <f>IF(A199="","",COUNTIFS('Turn Log'!$B$5:$B$5000,A199,'Turn Log'!$X$5:$X$5000,1))</f>
        <v/>
      </c>
      <c r="M199" s="56">
        <f>IF(A199="","",COUNTIFS('Turn Log'!$B$5:$B$5000,A199,'Turn Log'!$Y$5:$Y$5000,1))</f>
        <v/>
      </c>
      <c r="N199" s="56">
        <f>IF(A199="","",COUNTIFS('Turn Log'!$B$5:$B$5000,A199,'Turn Log'!$W$5:$W$5000,1))</f>
        <v/>
      </c>
      <c r="O199" s="56">
        <f>IF(H199="","No","Yes")</f>
        <v/>
      </c>
      <c r="P199" s="56">
        <f>IF(A199="","",COUNTIFS('Stability Checks'!$A$5:$A$2000,A199,'Stability Checks'!$C$5:$C$2000,"Re-execution",'Stability Checks'!$E$5:$E$2000,"Pass"))</f>
        <v/>
      </c>
      <c r="Q199" s="56">
        <f>IF(A199="","",COUNTIFS('Stability Checks'!$A$5:$A$2000,A199,'Stability Checks'!$C$5:$C$2000,"Re-prompt",'Stability Checks'!$E$5:$E$2000,"Pass"))</f>
        <v/>
      </c>
      <c r="R199" s="47">
        <f>IF(A199="","",'Run Plan'!Q199)</f>
        <v/>
      </c>
      <c r="S199" s="50" t="n"/>
    </row>
    <row r="200" ht="15.75" customHeight="1" s="40">
      <c r="A200" s="55">
        <f>IF('Run Plan'!A200="","",'Run Plan'!A200)</f>
        <v/>
      </c>
      <c r="B200" s="55">
        <f>IF(A200="","",'Run Plan'!C200)</f>
        <v/>
      </c>
      <c r="C200" s="55">
        <f>IF(A200="","",'Run Plan'!E200)</f>
        <v/>
      </c>
      <c r="D200" s="54">
        <f>IF(A200="","",'Run Plan'!G200)</f>
        <v/>
      </c>
      <c r="E200" s="47">
        <f>IF(A200="","",'Run Plan'!K200)</f>
        <v/>
      </c>
      <c r="F200" s="47">
        <f>IF(A200="","",'Run Plan'!J200)</f>
        <v/>
      </c>
      <c r="G200" s="56">
        <f>IF(A200="","",COUNTIF('Turn Log'!$B$5:$B$5000,A200))</f>
        <v/>
      </c>
      <c r="H200" s="56">
        <f>IF(A200="","",IFERROR(MINIFS('Turn Log'!$C$5:$C$5000,'Turn Log'!$B$5:$B$5000,A200,'Turn Log'!$Q$5:$Q$5000,"Pass"),""))</f>
        <v/>
      </c>
      <c r="I200" s="56">
        <f>IF(A200="","",IFERROR(MAXIFS('Turn Log'!$C$5:$C$5000,'Turn Log'!$B$5:$B$5000,A200),""))</f>
        <v/>
      </c>
      <c r="J200" s="56">
        <f>IF(A200="","",IFERROR(INDEX('Turn Log'!$Q$5:$Q$5000,MATCH(1,('Turn Log'!$B$5:$B$5000=A200)*('Turn Log'!$C$5:$C$5000=I200),0)),""))</f>
        <v/>
      </c>
      <c r="K200" s="56">
        <f>IF(A200="","",IFERROR(INDEX('Turn Log'!$R$5:$R$5000,MATCH(1,('Turn Log'!$B$5:$B$5000=A200)*('Turn Log'!$C$5:$C$5000=I200),0)),""))</f>
        <v/>
      </c>
      <c r="L200" s="56">
        <f>IF(A200="","",COUNTIFS('Turn Log'!$B$5:$B$5000,A200,'Turn Log'!$X$5:$X$5000,1))</f>
        <v/>
      </c>
      <c r="M200" s="56">
        <f>IF(A200="","",COUNTIFS('Turn Log'!$B$5:$B$5000,A200,'Turn Log'!$Y$5:$Y$5000,1))</f>
        <v/>
      </c>
      <c r="N200" s="56">
        <f>IF(A200="","",COUNTIFS('Turn Log'!$B$5:$B$5000,A200,'Turn Log'!$W$5:$W$5000,1))</f>
        <v/>
      </c>
      <c r="O200" s="56">
        <f>IF(H200="","No","Yes")</f>
        <v/>
      </c>
      <c r="P200" s="56">
        <f>IF(A200="","",COUNTIFS('Stability Checks'!$A$5:$A$2000,A200,'Stability Checks'!$C$5:$C$2000,"Re-execution",'Stability Checks'!$E$5:$E$2000,"Pass"))</f>
        <v/>
      </c>
      <c r="Q200" s="56">
        <f>IF(A200="","",COUNTIFS('Stability Checks'!$A$5:$A$2000,A200,'Stability Checks'!$C$5:$C$2000,"Re-prompt",'Stability Checks'!$E$5:$E$2000,"Pass"))</f>
        <v/>
      </c>
      <c r="R200" s="47">
        <f>IF(A200="","",'Run Plan'!Q200)</f>
        <v/>
      </c>
      <c r="S200" s="50" t="n"/>
    </row>
    <row r="201" ht="15.75" customHeight="1" s="40">
      <c r="A201" s="55">
        <f>IF('Run Plan'!A201="","",'Run Plan'!A201)</f>
        <v/>
      </c>
      <c r="B201" s="55">
        <f>IF(A201="","",'Run Plan'!C201)</f>
        <v/>
      </c>
      <c r="C201" s="55">
        <f>IF(A201="","",'Run Plan'!E201)</f>
        <v/>
      </c>
      <c r="D201" s="54">
        <f>IF(A201="","",'Run Plan'!G201)</f>
        <v/>
      </c>
      <c r="E201" s="47">
        <f>IF(A201="","",'Run Plan'!K201)</f>
        <v/>
      </c>
      <c r="F201" s="47">
        <f>IF(A201="","",'Run Plan'!J201)</f>
        <v/>
      </c>
      <c r="G201" s="56">
        <f>IF(A201="","",COUNTIF('Turn Log'!$B$5:$B$5000,A201))</f>
        <v/>
      </c>
      <c r="H201" s="56">
        <f>IF(A201="","",IFERROR(MINIFS('Turn Log'!$C$5:$C$5000,'Turn Log'!$B$5:$B$5000,A201,'Turn Log'!$Q$5:$Q$5000,"Pass"),""))</f>
        <v/>
      </c>
      <c r="I201" s="56">
        <f>IF(A201="","",IFERROR(MAXIFS('Turn Log'!$C$5:$C$5000,'Turn Log'!$B$5:$B$5000,A201),""))</f>
        <v/>
      </c>
      <c r="J201" s="56">
        <f>IF(A201="","",IFERROR(INDEX('Turn Log'!$Q$5:$Q$5000,MATCH(1,('Turn Log'!$B$5:$B$5000=A201)*('Turn Log'!$C$5:$C$5000=I201),0)),""))</f>
        <v/>
      </c>
      <c r="K201" s="56">
        <f>IF(A201="","",IFERROR(INDEX('Turn Log'!$R$5:$R$5000,MATCH(1,('Turn Log'!$B$5:$B$5000=A201)*('Turn Log'!$C$5:$C$5000=I201),0)),""))</f>
        <v/>
      </c>
      <c r="L201" s="56">
        <f>IF(A201="","",COUNTIFS('Turn Log'!$B$5:$B$5000,A201,'Turn Log'!$X$5:$X$5000,1))</f>
        <v/>
      </c>
      <c r="M201" s="56">
        <f>IF(A201="","",COUNTIFS('Turn Log'!$B$5:$B$5000,A201,'Turn Log'!$Y$5:$Y$5000,1))</f>
        <v/>
      </c>
      <c r="N201" s="56">
        <f>IF(A201="","",COUNTIFS('Turn Log'!$B$5:$B$5000,A201,'Turn Log'!$W$5:$W$5000,1))</f>
        <v/>
      </c>
      <c r="O201" s="56">
        <f>IF(H201="","No","Yes")</f>
        <v/>
      </c>
      <c r="P201" s="56">
        <f>IF(A201="","",COUNTIFS('Stability Checks'!$A$5:$A$2000,A201,'Stability Checks'!$C$5:$C$2000,"Re-execution",'Stability Checks'!$E$5:$E$2000,"Pass"))</f>
        <v/>
      </c>
      <c r="Q201" s="56">
        <f>IF(A201="","",COUNTIFS('Stability Checks'!$A$5:$A$2000,A201,'Stability Checks'!$C$5:$C$2000,"Re-prompt",'Stability Checks'!$E$5:$E$2000,"Pass"))</f>
        <v/>
      </c>
      <c r="R201" s="47">
        <f>IF(A201="","",'Run Plan'!Q201)</f>
        <v/>
      </c>
      <c r="S201" s="50" t="n"/>
    </row>
    <row r="202" ht="15.75" customHeight="1" s="40">
      <c r="A202" s="55">
        <f>IF('Run Plan'!A202="","",'Run Plan'!A202)</f>
        <v/>
      </c>
      <c r="B202" s="55">
        <f>IF(A202="","",'Run Plan'!C202)</f>
        <v/>
      </c>
      <c r="C202" s="55">
        <f>IF(A202="","",'Run Plan'!E202)</f>
        <v/>
      </c>
      <c r="D202" s="54">
        <f>IF(A202="","",'Run Plan'!G202)</f>
        <v/>
      </c>
      <c r="E202" s="47">
        <f>IF(A202="","",'Run Plan'!K202)</f>
        <v/>
      </c>
      <c r="F202" s="47">
        <f>IF(A202="","",'Run Plan'!J202)</f>
        <v/>
      </c>
      <c r="G202" s="56">
        <f>IF(A202="","",COUNTIF('Turn Log'!$B$5:$B$5000,A202))</f>
        <v/>
      </c>
      <c r="H202" s="56">
        <f>IF(A202="","",IFERROR(MINIFS('Turn Log'!$C$5:$C$5000,'Turn Log'!$B$5:$B$5000,A202,'Turn Log'!$Q$5:$Q$5000,"Pass"),""))</f>
        <v/>
      </c>
      <c r="I202" s="56">
        <f>IF(A202="","",IFERROR(MAXIFS('Turn Log'!$C$5:$C$5000,'Turn Log'!$B$5:$B$5000,A202),""))</f>
        <v/>
      </c>
      <c r="J202" s="56">
        <f>IF(A202="","",IFERROR(INDEX('Turn Log'!$Q$5:$Q$5000,MATCH(1,('Turn Log'!$B$5:$B$5000=A202)*('Turn Log'!$C$5:$C$5000=I202),0)),""))</f>
        <v/>
      </c>
      <c r="K202" s="56">
        <f>IF(A202="","",IFERROR(INDEX('Turn Log'!$R$5:$R$5000,MATCH(1,('Turn Log'!$B$5:$B$5000=A202)*('Turn Log'!$C$5:$C$5000=I202),0)),""))</f>
        <v/>
      </c>
      <c r="L202" s="56">
        <f>IF(A202="","",COUNTIFS('Turn Log'!$B$5:$B$5000,A202,'Turn Log'!$X$5:$X$5000,1))</f>
        <v/>
      </c>
      <c r="M202" s="56">
        <f>IF(A202="","",COUNTIFS('Turn Log'!$B$5:$B$5000,A202,'Turn Log'!$Y$5:$Y$5000,1))</f>
        <v/>
      </c>
      <c r="N202" s="56">
        <f>IF(A202="","",COUNTIFS('Turn Log'!$B$5:$B$5000,A202,'Turn Log'!$W$5:$W$5000,1))</f>
        <v/>
      </c>
      <c r="O202" s="56">
        <f>IF(H202="","No","Yes")</f>
        <v/>
      </c>
      <c r="P202" s="56">
        <f>IF(A202="","",COUNTIFS('Stability Checks'!$A$5:$A$2000,A202,'Stability Checks'!$C$5:$C$2000,"Re-execution",'Stability Checks'!$E$5:$E$2000,"Pass"))</f>
        <v/>
      </c>
      <c r="Q202" s="56">
        <f>IF(A202="","",COUNTIFS('Stability Checks'!$A$5:$A$2000,A202,'Stability Checks'!$C$5:$C$2000,"Re-prompt",'Stability Checks'!$E$5:$E$2000,"Pass"))</f>
        <v/>
      </c>
      <c r="R202" s="47">
        <f>IF(A202="","",'Run Plan'!Q202)</f>
        <v/>
      </c>
      <c r="S202" s="50" t="n"/>
    </row>
    <row r="203" ht="15.75" customHeight="1" s="40">
      <c r="A203" s="55">
        <f>IF('Run Plan'!A203="","",'Run Plan'!A203)</f>
        <v/>
      </c>
      <c r="B203" s="55">
        <f>IF(A203="","",'Run Plan'!C203)</f>
        <v/>
      </c>
      <c r="C203" s="55">
        <f>IF(A203="","",'Run Plan'!E203)</f>
        <v/>
      </c>
      <c r="D203" s="54">
        <f>IF(A203="","",'Run Plan'!G203)</f>
        <v/>
      </c>
      <c r="E203" s="47">
        <f>IF(A203="","",'Run Plan'!K203)</f>
        <v/>
      </c>
      <c r="F203" s="47">
        <f>IF(A203="","",'Run Plan'!J203)</f>
        <v/>
      </c>
      <c r="G203" s="56">
        <f>IF(A203="","",COUNTIF('Turn Log'!$B$5:$B$5000,A203))</f>
        <v/>
      </c>
      <c r="H203" s="56">
        <f>IF(A203="","",IFERROR(MINIFS('Turn Log'!$C$5:$C$5000,'Turn Log'!$B$5:$B$5000,A203,'Turn Log'!$Q$5:$Q$5000,"Pass"),""))</f>
        <v/>
      </c>
      <c r="I203" s="56">
        <f>IF(A203="","",IFERROR(MAXIFS('Turn Log'!$C$5:$C$5000,'Turn Log'!$B$5:$B$5000,A203),""))</f>
        <v/>
      </c>
      <c r="J203" s="56">
        <f>IF(A203="","",IFERROR(INDEX('Turn Log'!$Q$5:$Q$5000,MATCH(1,('Turn Log'!$B$5:$B$5000=A203)*('Turn Log'!$C$5:$C$5000=I203),0)),""))</f>
        <v/>
      </c>
      <c r="K203" s="56">
        <f>IF(A203="","",IFERROR(INDEX('Turn Log'!$R$5:$R$5000,MATCH(1,('Turn Log'!$B$5:$B$5000=A203)*('Turn Log'!$C$5:$C$5000=I203),0)),""))</f>
        <v/>
      </c>
      <c r="L203" s="56">
        <f>IF(A203="","",COUNTIFS('Turn Log'!$B$5:$B$5000,A203,'Turn Log'!$X$5:$X$5000,1))</f>
        <v/>
      </c>
      <c r="M203" s="56">
        <f>IF(A203="","",COUNTIFS('Turn Log'!$B$5:$B$5000,A203,'Turn Log'!$Y$5:$Y$5000,1))</f>
        <v/>
      </c>
      <c r="N203" s="56">
        <f>IF(A203="","",COUNTIFS('Turn Log'!$B$5:$B$5000,A203,'Turn Log'!$W$5:$W$5000,1))</f>
        <v/>
      </c>
      <c r="O203" s="56">
        <f>IF(H203="","No","Yes")</f>
        <v/>
      </c>
      <c r="P203" s="56">
        <f>IF(A203="","",COUNTIFS('Stability Checks'!$A$5:$A$2000,A203,'Stability Checks'!$C$5:$C$2000,"Re-execution",'Stability Checks'!$E$5:$E$2000,"Pass"))</f>
        <v/>
      </c>
      <c r="Q203" s="56">
        <f>IF(A203="","",COUNTIFS('Stability Checks'!$A$5:$A$2000,A203,'Stability Checks'!$C$5:$C$2000,"Re-prompt",'Stability Checks'!$E$5:$E$2000,"Pass"))</f>
        <v/>
      </c>
      <c r="R203" s="47">
        <f>IF(A203="","",'Run Plan'!Q203)</f>
        <v/>
      </c>
      <c r="S203" s="50" t="n"/>
    </row>
    <row r="204" ht="15.75" customHeight="1" s="40">
      <c r="A204" s="55">
        <f>IF('Run Plan'!A204="","",'Run Plan'!A204)</f>
        <v/>
      </c>
      <c r="B204" s="55">
        <f>IF(A204="","",'Run Plan'!C204)</f>
        <v/>
      </c>
      <c r="C204" s="55">
        <f>IF(A204="","",'Run Plan'!E204)</f>
        <v/>
      </c>
      <c r="D204" s="54">
        <f>IF(A204="","",'Run Plan'!G204)</f>
        <v/>
      </c>
      <c r="E204" s="47">
        <f>IF(A204="","",'Run Plan'!K204)</f>
        <v/>
      </c>
      <c r="F204" s="47">
        <f>IF(A204="","",'Run Plan'!J204)</f>
        <v/>
      </c>
      <c r="G204" s="56">
        <f>IF(A204="","",COUNTIF('Turn Log'!$B$5:$B$5000,A204))</f>
        <v/>
      </c>
      <c r="H204" s="56">
        <f>IF(A204="","",IFERROR(MINIFS('Turn Log'!$C$5:$C$5000,'Turn Log'!$B$5:$B$5000,A204,'Turn Log'!$Q$5:$Q$5000,"Pass"),""))</f>
        <v/>
      </c>
      <c r="I204" s="56">
        <f>IF(A204="","",IFERROR(MAXIFS('Turn Log'!$C$5:$C$5000,'Turn Log'!$B$5:$B$5000,A204),""))</f>
        <v/>
      </c>
      <c r="J204" s="56">
        <f>IF(A204="","",IFERROR(INDEX('Turn Log'!$Q$5:$Q$5000,MATCH(1,('Turn Log'!$B$5:$B$5000=A204)*('Turn Log'!$C$5:$C$5000=I204),0)),""))</f>
        <v/>
      </c>
      <c r="K204" s="56">
        <f>IF(A204="","",IFERROR(INDEX('Turn Log'!$R$5:$R$5000,MATCH(1,('Turn Log'!$B$5:$B$5000=A204)*('Turn Log'!$C$5:$C$5000=I204),0)),""))</f>
        <v/>
      </c>
      <c r="L204" s="56">
        <f>IF(A204="","",COUNTIFS('Turn Log'!$B$5:$B$5000,A204,'Turn Log'!$X$5:$X$5000,1))</f>
        <v/>
      </c>
      <c r="M204" s="56">
        <f>IF(A204="","",COUNTIFS('Turn Log'!$B$5:$B$5000,A204,'Turn Log'!$Y$5:$Y$5000,1))</f>
        <v/>
      </c>
      <c r="N204" s="56">
        <f>IF(A204="","",COUNTIFS('Turn Log'!$B$5:$B$5000,A204,'Turn Log'!$W$5:$W$5000,1))</f>
        <v/>
      </c>
      <c r="O204" s="56">
        <f>IF(H204="","No","Yes")</f>
        <v/>
      </c>
      <c r="P204" s="56">
        <f>IF(A204="","",COUNTIFS('Stability Checks'!$A$5:$A$2000,A204,'Stability Checks'!$C$5:$C$2000,"Re-execution",'Stability Checks'!$E$5:$E$2000,"Pass"))</f>
        <v/>
      </c>
      <c r="Q204" s="56">
        <f>IF(A204="","",COUNTIFS('Stability Checks'!$A$5:$A$2000,A204,'Stability Checks'!$C$5:$C$2000,"Re-prompt",'Stability Checks'!$E$5:$E$2000,"Pass"))</f>
        <v/>
      </c>
      <c r="R204" s="47">
        <f>IF(A204="","",'Run Plan'!Q204)</f>
        <v/>
      </c>
      <c r="S204" s="50" t="n"/>
    </row>
    <row r="205" ht="15.75" customHeight="1" s="40">
      <c r="A205" s="55">
        <f>IF('Run Plan'!A205="","",'Run Plan'!A205)</f>
        <v/>
      </c>
      <c r="B205" s="55">
        <f>IF(A205="","",'Run Plan'!C205)</f>
        <v/>
      </c>
      <c r="C205" s="55">
        <f>IF(A205="","",'Run Plan'!E205)</f>
        <v/>
      </c>
      <c r="D205" s="54">
        <f>IF(A205="","",'Run Plan'!G205)</f>
        <v/>
      </c>
      <c r="E205" s="47">
        <f>IF(A205="","",'Run Plan'!K205)</f>
        <v/>
      </c>
      <c r="F205" s="47">
        <f>IF(A205="","",'Run Plan'!J205)</f>
        <v/>
      </c>
      <c r="G205" s="56">
        <f>IF(A205="","",COUNTIF('Turn Log'!$B$5:$B$5000,A205))</f>
        <v/>
      </c>
      <c r="H205" s="56">
        <f>IF(A205="","",IFERROR(MINIFS('Turn Log'!$C$5:$C$5000,'Turn Log'!$B$5:$B$5000,A205,'Turn Log'!$Q$5:$Q$5000,"Pass"),""))</f>
        <v/>
      </c>
      <c r="I205" s="56">
        <f>IF(A205="","",IFERROR(MAXIFS('Turn Log'!$C$5:$C$5000,'Turn Log'!$B$5:$B$5000,A205),""))</f>
        <v/>
      </c>
      <c r="J205" s="56">
        <f>IF(A205="","",IFERROR(INDEX('Turn Log'!$Q$5:$Q$5000,MATCH(1,('Turn Log'!$B$5:$B$5000=A205)*('Turn Log'!$C$5:$C$5000=I205),0)),""))</f>
        <v/>
      </c>
      <c r="K205" s="56">
        <f>IF(A205="","",IFERROR(INDEX('Turn Log'!$R$5:$R$5000,MATCH(1,('Turn Log'!$B$5:$B$5000=A205)*('Turn Log'!$C$5:$C$5000=I205),0)),""))</f>
        <v/>
      </c>
      <c r="L205" s="56">
        <f>IF(A205="","",COUNTIFS('Turn Log'!$B$5:$B$5000,A205,'Turn Log'!$X$5:$X$5000,1))</f>
        <v/>
      </c>
      <c r="M205" s="56">
        <f>IF(A205="","",COUNTIFS('Turn Log'!$B$5:$B$5000,A205,'Turn Log'!$Y$5:$Y$5000,1))</f>
        <v/>
      </c>
      <c r="N205" s="56">
        <f>IF(A205="","",COUNTIFS('Turn Log'!$B$5:$B$5000,A205,'Turn Log'!$W$5:$W$5000,1))</f>
        <v/>
      </c>
      <c r="O205" s="56">
        <f>IF(H205="","No","Yes")</f>
        <v/>
      </c>
      <c r="P205" s="56">
        <f>IF(A205="","",COUNTIFS('Stability Checks'!$A$5:$A$2000,A205,'Stability Checks'!$C$5:$C$2000,"Re-execution",'Stability Checks'!$E$5:$E$2000,"Pass"))</f>
        <v/>
      </c>
      <c r="Q205" s="56">
        <f>IF(A205="","",COUNTIFS('Stability Checks'!$A$5:$A$2000,A205,'Stability Checks'!$C$5:$C$2000,"Re-prompt",'Stability Checks'!$E$5:$E$2000,"Pass"))</f>
        <v/>
      </c>
      <c r="R205" s="47">
        <f>IF(A205="","",'Run Plan'!Q205)</f>
        <v/>
      </c>
      <c r="S205" s="50" t="n"/>
    </row>
    <row r="206" ht="15.75" customHeight="1" s="40">
      <c r="A206" s="55">
        <f>IF('Run Plan'!A206="","",'Run Plan'!A206)</f>
        <v/>
      </c>
      <c r="B206" s="55">
        <f>IF(A206="","",'Run Plan'!C206)</f>
        <v/>
      </c>
      <c r="C206" s="55">
        <f>IF(A206="","",'Run Plan'!E206)</f>
        <v/>
      </c>
      <c r="D206" s="54">
        <f>IF(A206="","",'Run Plan'!G206)</f>
        <v/>
      </c>
      <c r="E206" s="47">
        <f>IF(A206="","",'Run Plan'!K206)</f>
        <v/>
      </c>
      <c r="F206" s="47">
        <f>IF(A206="","",'Run Plan'!J206)</f>
        <v/>
      </c>
      <c r="G206" s="56">
        <f>IF(A206="","",COUNTIF('Turn Log'!$B$5:$B$5000,A206))</f>
        <v/>
      </c>
      <c r="H206" s="56">
        <f>IF(A206="","",IFERROR(MINIFS('Turn Log'!$C$5:$C$5000,'Turn Log'!$B$5:$B$5000,A206,'Turn Log'!$Q$5:$Q$5000,"Pass"),""))</f>
        <v/>
      </c>
      <c r="I206" s="56">
        <f>IF(A206="","",IFERROR(MAXIFS('Turn Log'!$C$5:$C$5000,'Turn Log'!$B$5:$B$5000,A206),""))</f>
        <v/>
      </c>
      <c r="J206" s="56">
        <f>IF(A206="","",IFERROR(INDEX('Turn Log'!$Q$5:$Q$5000,MATCH(1,('Turn Log'!$B$5:$B$5000=A206)*('Turn Log'!$C$5:$C$5000=I206),0)),""))</f>
        <v/>
      </c>
      <c r="K206" s="56">
        <f>IF(A206="","",IFERROR(INDEX('Turn Log'!$R$5:$R$5000,MATCH(1,('Turn Log'!$B$5:$B$5000=A206)*('Turn Log'!$C$5:$C$5000=I206),0)),""))</f>
        <v/>
      </c>
      <c r="L206" s="56">
        <f>IF(A206="","",COUNTIFS('Turn Log'!$B$5:$B$5000,A206,'Turn Log'!$X$5:$X$5000,1))</f>
        <v/>
      </c>
      <c r="M206" s="56">
        <f>IF(A206="","",COUNTIFS('Turn Log'!$B$5:$B$5000,A206,'Turn Log'!$Y$5:$Y$5000,1))</f>
        <v/>
      </c>
      <c r="N206" s="56">
        <f>IF(A206="","",COUNTIFS('Turn Log'!$B$5:$B$5000,A206,'Turn Log'!$W$5:$W$5000,1))</f>
        <v/>
      </c>
      <c r="O206" s="56">
        <f>IF(H206="","No","Yes")</f>
        <v/>
      </c>
      <c r="P206" s="56">
        <f>IF(A206="","",COUNTIFS('Stability Checks'!$A$5:$A$2000,A206,'Stability Checks'!$C$5:$C$2000,"Re-execution",'Stability Checks'!$E$5:$E$2000,"Pass"))</f>
        <v/>
      </c>
      <c r="Q206" s="56">
        <f>IF(A206="","",COUNTIFS('Stability Checks'!$A$5:$A$2000,A206,'Stability Checks'!$C$5:$C$2000,"Re-prompt",'Stability Checks'!$E$5:$E$2000,"Pass"))</f>
        <v/>
      </c>
      <c r="R206" s="47">
        <f>IF(A206="","",'Run Plan'!Q206)</f>
        <v/>
      </c>
      <c r="S206" s="50" t="n"/>
    </row>
    <row r="207" ht="15.75" customHeight="1" s="40">
      <c r="A207" s="55">
        <f>IF('Run Plan'!A207="","",'Run Plan'!A207)</f>
        <v/>
      </c>
      <c r="B207" s="55">
        <f>IF(A207="","",'Run Plan'!C207)</f>
        <v/>
      </c>
      <c r="C207" s="55">
        <f>IF(A207="","",'Run Plan'!E207)</f>
        <v/>
      </c>
      <c r="D207" s="54">
        <f>IF(A207="","",'Run Plan'!G207)</f>
        <v/>
      </c>
      <c r="E207" s="47">
        <f>IF(A207="","",'Run Plan'!K207)</f>
        <v/>
      </c>
      <c r="F207" s="47">
        <f>IF(A207="","",'Run Plan'!J207)</f>
        <v/>
      </c>
      <c r="G207" s="56">
        <f>IF(A207="","",COUNTIF('Turn Log'!$B$5:$B$5000,A207))</f>
        <v/>
      </c>
      <c r="H207" s="56">
        <f>IF(A207="","",IFERROR(MINIFS('Turn Log'!$C$5:$C$5000,'Turn Log'!$B$5:$B$5000,A207,'Turn Log'!$Q$5:$Q$5000,"Pass"),""))</f>
        <v/>
      </c>
      <c r="I207" s="56">
        <f>IF(A207="","",IFERROR(MAXIFS('Turn Log'!$C$5:$C$5000,'Turn Log'!$B$5:$B$5000,A207),""))</f>
        <v/>
      </c>
      <c r="J207" s="56">
        <f>IF(A207="","",IFERROR(INDEX('Turn Log'!$Q$5:$Q$5000,MATCH(1,('Turn Log'!$B$5:$B$5000=A207)*('Turn Log'!$C$5:$C$5000=I207),0)),""))</f>
        <v/>
      </c>
      <c r="K207" s="56">
        <f>IF(A207="","",IFERROR(INDEX('Turn Log'!$R$5:$R$5000,MATCH(1,('Turn Log'!$B$5:$B$5000=A207)*('Turn Log'!$C$5:$C$5000=I207),0)),""))</f>
        <v/>
      </c>
      <c r="L207" s="56">
        <f>IF(A207="","",COUNTIFS('Turn Log'!$B$5:$B$5000,A207,'Turn Log'!$X$5:$X$5000,1))</f>
        <v/>
      </c>
      <c r="M207" s="56">
        <f>IF(A207="","",COUNTIFS('Turn Log'!$B$5:$B$5000,A207,'Turn Log'!$Y$5:$Y$5000,1))</f>
        <v/>
      </c>
      <c r="N207" s="56">
        <f>IF(A207="","",COUNTIFS('Turn Log'!$B$5:$B$5000,A207,'Turn Log'!$W$5:$W$5000,1))</f>
        <v/>
      </c>
      <c r="O207" s="56">
        <f>IF(H207="","No","Yes")</f>
        <v/>
      </c>
      <c r="P207" s="56">
        <f>IF(A207="","",COUNTIFS('Stability Checks'!$A$5:$A$2000,A207,'Stability Checks'!$C$5:$C$2000,"Re-execution",'Stability Checks'!$E$5:$E$2000,"Pass"))</f>
        <v/>
      </c>
      <c r="Q207" s="56">
        <f>IF(A207="","",COUNTIFS('Stability Checks'!$A$5:$A$2000,A207,'Stability Checks'!$C$5:$C$2000,"Re-prompt",'Stability Checks'!$E$5:$E$2000,"Pass"))</f>
        <v/>
      </c>
      <c r="R207" s="47">
        <f>IF(A207="","",'Run Plan'!Q207)</f>
        <v/>
      </c>
      <c r="S207" s="50" t="n"/>
    </row>
    <row r="208" ht="15.75" customHeight="1" s="40">
      <c r="A208" s="55">
        <f>IF('Run Plan'!A208="","",'Run Plan'!A208)</f>
        <v/>
      </c>
      <c r="B208" s="55">
        <f>IF(A208="","",'Run Plan'!C208)</f>
        <v/>
      </c>
      <c r="C208" s="55">
        <f>IF(A208="","",'Run Plan'!E208)</f>
        <v/>
      </c>
      <c r="D208" s="54">
        <f>IF(A208="","",'Run Plan'!G208)</f>
        <v/>
      </c>
      <c r="E208" s="47">
        <f>IF(A208="","",'Run Plan'!K208)</f>
        <v/>
      </c>
      <c r="F208" s="47">
        <f>IF(A208="","",'Run Plan'!J208)</f>
        <v/>
      </c>
      <c r="G208" s="56">
        <f>IF(A208="","",COUNTIF('Turn Log'!$B$5:$B$5000,A208))</f>
        <v/>
      </c>
      <c r="H208" s="56">
        <f>IF(A208="","",IFERROR(MINIFS('Turn Log'!$C$5:$C$5000,'Turn Log'!$B$5:$B$5000,A208,'Turn Log'!$Q$5:$Q$5000,"Pass"),""))</f>
        <v/>
      </c>
      <c r="I208" s="56">
        <f>IF(A208="","",IFERROR(MAXIFS('Turn Log'!$C$5:$C$5000,'Turn Log'!$B$5:$B$5000,A208),""))</f>
        <v/>
      </c>
      <c r="J208" s="56">
        <f>IF(A208="","",IFERROR(INDEX('Turn Log'!$Q$5:$Q$5000,MATCH(1,('Turn Log'!$B$5:$B$5000=A208)*('Turn Log'!$C$5:$C$5000=I208),0)),""))</f>
        <v/>
      </c>
      <c r="K208" s="56">
        <f>IF(A208="","",IFERROR(INDEX('Turn Log'!$R$5:$R$5000,MATCH(1,('Turn Log'!$B$5:$B$5000=A208)*('Turn Log'!$C$5:$C$5000=I208),0)),""))</f>
        <v/>
      </c>
      <c r="L208" s="56">
        <f>IF(A208="","",COUNTIFS('Turn Log'!$B$5:$B$5000,A208,'Turn Log'!$X$5:$X$5000,1))</f>
        <v/>
      </c>
      <c r="M208" s="56">
        <f>IF(A208="","",COUNTIFS('Turn Log'!$B$5:$B$5000,A208,'Turn Log'!$Y$5:$Y$5000,1))</f>
        <v/>
      </c>
      <c r="N208" s="56">
        <f>IF(A208="","",COUNTIFS('Turn Log'!$B$5:$B$5000,A208,'Turn Log'!$W$5:$W$5000,1))</f>
        <v/>
      </c>
      <c r="O208" s="56">
        <f>IF(H208="","No","Yes")</f>
        <v/>
      </c>
      <c r="P208" s="56">
        <f>IF(A208="","",COUNTIFS('Stability Checks'!$A$5:$A$2000,A208,'Stability Checks'!$C$5:$C$2000,"Re-execution",'Stability Checks'!$E$5:$E$2000,"Pass"))</f>
        <v/>
      </c>
      <c r="Q208" s="56">
        <f>IF(A208="","",COUNTIFS('Stability Checks'!$A$5:$A$2000,A208,'Stability Checks'!$C$5:$C$2000,"Re-prompt",'Stability Checks'!$E$5:$E$2000,"Pass"))</f>
        <v/>
      </c>
      <c r="R208" s="47">
        <f>IF(A208="","",'Run Plan'!Q208)</f>
        <v/>
      </c>
      <c r="S208" s="50" t="n"/>
    </row>
    <row r="209" ht="15.75" customHeight="1" s="40">
      <c r="A209" s="55">
        <f>IF('Run Plan'!A209="","",'Run Plan'!A209)</f>
        <v/>
      </c>
      <c r="B209" s="55">
        <f>IF(A209="","",'Run Plan'!C209)</f>
        <v/>
      </c>
      <c r="C209" s="55">
        <f>IF(A209="","",'Run Plan'!E209)</f>
        <v/>
      </c>
      <c r="D209" s="54">
        <f>IF(A209="","",'Run Plan'!G209)</f>
        <v/>
      </c>
      <c r="E209" s="47">
        <f>IF(A209="","",'Run Plan'!K209)</f>
        <v/>
      </c>
      <c r="F209" s="47">
        <f>IF(A209="","",'Run Plan'!J209)</f>
        <v/>
      </c>
      <c r="G209" s="56">
        <f>IF(A209="","",COUNTIF('Turn Log'!$B$5:$B$5000,A209))</f>
        <v/>
      </c>
      <c r="H209" s="56">
        <f>IF(A209="","",IFERROR(MINIFS('Turn Log'!$C$5:$C$5000,'Turn Log'!$B$5:$B$5000,A209,'Turn Log'!$Q$5:$Q$5000,"Pass"),""))</f>
        <v/>
      </c>
      <c r="I209" s="56">
        <f>IF(A209="","",IFERROR(MAXIFS('Turn Log'!$C$5:$C$5000,'Turn Log'!$B$5:$B$5000,A209),""))</f>
        <v/>
      </c>
      <c r="J209" s="56">
        <f>IF(A209="","",IFERROR(INDEX('Turn Log'!$Q$5:$Q$5000,MATCH(1,('Turn Log'!$B$5:$B$5000=A209)*('Turn Log'!$C$5:$C$5000=I209),0)),""))</f>
        <v/>
      </c>
      <c r="K209" s="56">
        <f>IF(A209="","",IFERROR(INDEX('Turn Log'!$R$5:$R$5000,MATCH(1,('Turn Log'!$B$5:$B$5000=A209)*('Turn Log'!$C$5:$C$5000=I209),0)),""))</f>
        <v/>
      </c>
      <c r="L209" s="56">
        <f>IF(A209="","",COUNTIFS('Turn Log'!$B$5:$B$5000,A209,'Turn Log'!$X$5:$X$5000,1))</f>
        <v/>
      </c>
      <c r="M209" s="56">
        <f>IF(A209="","",COUNTIFS('Turn Log'!$B$5:$B$5000,A209,'Turn Log'!$Y$5:$Y$5000,1))</f>
        <v/>
      </c>
      <c r="N209" s="56">
        <f>IF(A209="","",COUNTIFS('Turn Log'!$B$5:$B$5000,A209,'Turn Log'!$W$5:$W$5000,1))</f>
        <v/>
      </c>
      <c r="O209" s="56">
        <f>IF(H209="","No","Yes")</f>
        <v/>
      </c>
      <c r="P209" s="56">
        <f>IF(A209="","",COUNTIFS('Stability Checks'!$A$5:$A$2000,A209,'Stability Checks'!$C$5:$C$2000,"Re-execution",'Stability Checks'!$E$5:$E$2000,"Pass"))</f>
        <v/>
      </c>
      <c r="Q209" s="56">
        <f>IF(A209="","",COUNTIFS('Stability Checks'!$A$5:$A$2000,A209,'Stability Checks'!$C$5:$C$2000,"Re-prompt",'Stability Checks'!$E$5:$E$2000,"Pass"))</f>
        <v/>
      </c>
      <c r="R209" s="47">
        <f>IF(A209="","",'Run Plan'!Q209)</f>
        <v/>
      </c>
      <c r="S209" s="50" t="n"/>
    </row>
    <row r="210" ht="15.75" customHeight="1" s="40">
      <c r="A210" s="55">
        <f>IF('Run Plan'!A210="","",'Run Plan'!A210)</f>
        <v/>
      </c>
      <c r="B210" s="55">
        <f>IF(A210="","",'Run Plan'!C210)</f>
        <v/>
      </c>
      <c r="C210" s="55">
        <f>IF(A210="","",'Run Plan'!E210)</f>
        <v/>
      </c>
      <c r="D210" s="54">
        <f>IF(A210="","",'Run Plan'!G210)</f>
        <v/>
      </c>
      <c r="E210" s="47">
        <f>IF(A210="","",'Run Plan'!K210)</f>
        <v/>
      </c>
      <c r="F210" s="47">
        <f>IF(A210="","",'Run Plan'!J210)</f>
        <v/>
      </c>
      <c r="G210" s="56">
        <f>IF(A210="","",COUNTIF('Turn Log'!$B$5:$B$5000,A210))</f>
        <v/>
      </c>
      <c r="H210" s="56">
        <f>IF(A210="","",IFERROR(MINIFS('Turn Log'!$C$5:$C$5000,'Turn Log'!$B$5:$B$5000,A210,'Turn Log'!$Q$5:$Q$5000,"Pass"),""))</f>
        <v/>
      </c>
      <c r="I210" s="56">
        <f>IF(A210="","",IFERROR(MAXIFS('Turn Log'!$C$5:$C$5000,'Turn Log'!$B$5:$B$5000,A210),""))</f>
        <v/>
      </c>
      <c r="J210" s="56">
        <f>IF(A210="","",IFERROR(INDEX('Turn Log'!$Q$5:$Q$5000,MATCH(1,('Turn Log'!$B$5:$B$5000=A210)*('Turn Log'!$C$5:$C$5000=I210),0)),""))</f>
        <v/>
      </c>
      <c r="K210" s="56">
        <f>IF(A210="","",IFERROR(INDEX('Turn Log'!$R$5:$R$5000,MATCH(1,('Turn Log'!$B$5:$B$5000=A210)*('Turn Log'!$C$5:$C$5000=I210),0)),""))</f>
        <v/>
      </c>
      <c r="L210" s="56">
        <f>IF(A210="","",COUNTIFS('Turn Log'!$B$5:$B$5000,A210,'Turn Log'!$X$5:$X$5000,1))</f>
        <v/>
      </c>
      <c r="M210" s="56">
        <f>IF(A210="","",COUNTIFS('Turn Log'!$B$5:$B$5000,A210,'Turn Log'!$Y$5:$Y$5000,1))</f>
        <v/>
      </c>
      <c r="N210" s="56">
        <f>IF(A210="","",COUNTIFS('Turn Log'!$B$5:$B$5000,A210,'Turn Log'!$W$5:$W$5000,1))</f>
        <v/>
      </c>
      <c r="O210" s="56">
        <f>IF(H210="","No","Yes")</f>
        <v/>
      </c>
      <c r="P210" s="56">
        <f>IF(A210="","",COUNTIFS('Stability Checks'!$A$5:$A$2000,A210,'Stability Checks'!$C$5:$C$2000,"Re-execution",'Stability Checks'!$E$5:$E$2000,"Pass"))</f>
        <v/>
      </c>
      <c r="Q210" s="56">
        <f>IF(A210="","",COUNTIFS('Stability Checks'!$A$5:$A$2000,A210,'Stability Checks'!$C$5:$C$2000,"Re-prompt",'Stability Checks'!$E$5:$E$2000,"Pass"))</f>
        <v/>
      </c>
      <c r="R210" s="47">
        <f>IF(A210="","",'Run Plan'!Q210)</f>
        <v/>
      </c>
      <c r="S210" s="50" t="n"/>
    </row>
    <row r="211" ht="15.75" customHeight="1" s="40">
      <c r="A211" s="55">
        <f>IF('Run Plan'!A211="","",'Run Plan'!A211)</f>
        <v/>
      </c>
      <c r="B211" s="55">
        <f>IF(A211="","",'Run Plan'!C211)</f>
        <v/>
      </c>
      <c r="C211" s="55">
        <f>IF(A211="","",'Run Plan'!E211)</f>
        <v/>
      </c>
      <c r="D211" s="54">
        <f>IF(A211="","",'Run Plan'!G211)</f>
        <v/>
      </c>
      <c r="E211" s="47">
        <f>IF(A211="","",'Run Plan'!K211)</f>
        <v/>
      </c>
      <c r="F211" s="47">
        <f>IF(A211="","",'Run Plan'!J211)</f>
        <v/>
      </c>
      <c r="G211" s="56">
        <f>IF(A211="","",COUNTIF('Turn Log'!$B$5:$B$5000,A211))</f>
        <v/>
      </c>
      <c r="H211" s="56">
        <f>IF(A211="","",IFERROR(MINIFS('Turn Log'!$C$5:$C$5000,'Turn Log'!$B$5:$B$5000,A211,'Turn Log'!$Q$5:$Q$5000,"Pass"),""))</f>
        <v/>
      </c>
      <c r="I211" s="56">
        <f>IF(A211="","",IFERROR(MAXIFS('Turn Log'!$C$5:$C$5000,'Turn Log'!$B$5:$B$5000,A211),""))</f>
        <v/>
      </c>
      <c r="J211" s="56">
        <f>IF(A211="","",IFERROR(INDEX('Turn Log'!$Q$5:$Q$5000,MATCH(1,('Turn Log'!$B$5:$B$5000=A211)*('Turn Log'!$C$5:$C$5000=I211),0)),""))</f>
        <v/>
      </c>
      <c r="K211" s="56">
        <f>IF(A211="","",IFERROR(INDEX('Turn Log'!$R$5:$R$5000,MATCH(1,('Turn Log'!$B$5:$B$5000=A211)*('Turn Log'!$C$5:$C$5000=I211),0)),""))</f>
        <v/>
      </c>
      <c r="L211" s="56">
        <f>IF(A211="","",COUNTIFS('Turn Log'!$B$5:$B$5000,A211,'Turn Log'!$X$5:$X$5000,1))</f>
        <v/>
      </c>
      <c r="M211" s="56">
        <f>IF(A211="","",COUNTIFS('Turn Log'!$B$5:$B$5000,A211,'Turn Log'!$Y$5:$Y$5000,1))</f>
        <v/>
      </c>
      <c r="N211" s="56">
        <f>IF(A211="","",COUNTIFS('Turn Log'!$B$5:$B$5000,A211,'Turn Log'!$W$5:$W$5000,1))</f>
        <v/>
      </c>
      <c r="O211" s="56">
        <f>IF(H211="","No","Yes")</f>
        <v/>
      </c>
      <c r="P211" s="56">
        <f>IF(A211="","",COUNTIFS('Stability Checks'!$A$5:$A$2000,A211,'Stability Checks'!$C$5:$C$2000,"Re-execution",'Stability Checks'!$E$5:$E$2000,"Pass"))</f>
        <v/>
      </c>
      <c r="Q211" s="56">
        <f>IF(A211="","",COUNTIFS('Stability Checks'!$A$5:$A$2000,A211,'Stability Checks'!$C$5:$C$2000,"Re-prompt",'Stability Checks'!$E$5:$E$2000,"Pass"))</f>
        <v/>
      </c>
      <c r="R211" s="47">
        <f>IF(A211="","",'Run Plan'!Q211)</f>
        <v/>
      </c>
      <c r="S211" s="50" t="n"/>
    </row>
    <row r="212" ht="15.75" customHeight="1" s="40">
      <c r="A212" s="55">
        <f>IF('Run Plan'!A212="","",'Run Plan'!A212)</f>
        <v/>
      </c>
      <c r="B212" s="55">
        <f>IF(A212="","",'Run Plan'!C212)</f>
        <v/>
      </c>
      <c r="C212" s="55">
        <f>IF(A212="","",'Run Plan'!E212)</f>
        <v/>
      </c>
      <c r="D212" s="54">
        <f>IF(A212="","",'Run Plan'!G212)</f>
        <v/>
      </c>
      <c r="E212" s="47">
        <f>IF(A212="","",'Run Plan'!K212)</f>
        <v/>
      </c>
      <c r="F212" s="47">
        <f>IF(A212="","",'Run Plan'!J212)</f>
        <v/>
      </c>
      <c r="G212" s="56">
        <f>IF(A212="","",COUNTIF('Turn Log'!$B$5:$B$5000,A212))</f>
        <v/>
      </c>
      <c r="H212" s="56">
        <f>IF(A212="","",IFERROR(MINIFS('Turn Log'!$C$5:$C$5000,'Turn Log'!$B$5:$B$5000,A212,'Turn Log'!$Q$5:$Q$5000,"Pass"),""))</f>
        <v/>
      </c>
      <c r="I212" s="56">
        <f>IF(A212="","",IFERROR(MAXIFS('Turn Log'!$C$5:$C$5000,'Turn Log'!$B$5:$B$5000,A212),""))</f>
        <v/>
      </c>
      <c r="J212" s="56">
        <f>IF(A212="","",IFERROR(INDEX('Turn Log'!$Q$5:$Q$5000,MATCH(1,('Turn Log'!$B$5:$B$5000=A212)*('Turn Log'!$C$5:$C$5000=I212),0)),""))</f>
        <v/>
      </c>
      <c r="K212" s="56">
        <f>IF(A212="","",IFERROR(INDEX('Turn Log'!$R$5:$R$5000,MATCH(1,('Turn Log'!$B$5:$B$5000=A212)*('Turn Log'!$C$5:$C$5000=I212),0)),""))</f>
        <v/>
      </c>
      <c r="L212" s="56">
        <f>IF(A212="","",COUNTIFS('Turn Log'!$B$5:$B$5000,A212,'Turn Log'!$X$5:$X$5000,1))</f>
        <v/>
      </c>
      <c r="M212" s="56">
        <f>IF(A212="","",COUNTIFS('Turn Log'!$B$5:$B$5000,A212,'Turn Log'!$Y$5:$Y$5000,1))</f>
        <v/>
      </c>
      <c r="N212" s="56">
        <f>IF(A212="","",COUNTIFS('Turn Log'!$B$5:$B$5000,A212,'Turn Log'!$W$5:$W$5000,1))</f>
        <v/>
      </c>
      <c r="O212" s="56">
        <f>IF(H212="","No","Yes")</f>
        <v/>
      </c>
      <c r="P212" s="56">
        <f>IF(A212="","",COUNTIFS('Stability Checks'!$A$5:$A$2000,A212,'Stability Checks'!$C$5:$C$2000,"Re-execution",'Stability Checks'!$E$5:$E$2000,"Pass"))</f>
        <v/>
      </c>
      <c r="Q212" s="56">
        <f>IF(A212="","",COUNTIFS('Stability Checks'!$A$5:$A$2000,A212,'Stability Checks'!$C$5:$C$2000,"Re-prompt",'Stability Checks'!$E$5:$E$2000,"Pass"))</f>
        <v/>
      </c>
      <c r="R212" s="47">
        <f>IF(A212="","",'Run Plan'!Q212)</f>
        <v/>
      </c>
      <c r="S212" s="50" t="n"/>
    </row>
    <row r="213" ht="15.75" customHeight="1" s="40">
      <c r="A213" s="55">
        <f>IF('Run Plan'!A213="","",'Run Plan'!A213)</f>
        <v/>
      </c>
      <c r="B213" s="55">
        <f>IF(A213="","",'Run Plan'!C213)</f>
        <v/>
      </c>
      <c r="C213" s="55">
        <f>IF(A213="","",'Run Plan'!E213)</f>
        <v/>
      </c>
      <c r="D213" s="54">
        <f>IF(A213="","",'Run Plan'!G213)</f>
        <v/>
      </c>
      <c r="E213" s="47">
        <f>IF(A213="","",'Run Plan'!K213)</f>
        <v/>
      </c>
      <c r="F213" s="47">
        <f>IF(A213="","",'Run Plan'!J213)</f>
        <v/>
      </c>
      <c r="G213" s="56">
        <f>IF(A213="","",COUNTIF('Turn Log'!$B$5:$B$5000,A213))</f>
        <v/>
      </c>
      <c r="H213" s="56">
        <f>IF(A213="","",IFERROR(MINIFS('Turn Log'!$C$5:$C$5000,'Turn Log'!$B$5:$B$5000,A213,'Turn Log'!$Q$5:$Q$5000,"Pass"),""))</f>
        <v/>
      </c>
      <c r="I213" s="56">
        <f>IF(A213="","",IFERROR(MAXIFS('Turn Log'!$C$5:$C$5000,'Turn Log'!$B$5:$B$5000,A213),""))</f>
        <v/>
      </c>
      <c r="J213" s="56">
        <f>IF(A213="","",IFERROR(INDEX('Turn Log'!$Q$5:$Q$5000,MATCH(1,('Turn Log'!$B$5:$B$5000=A213)*('Turn Log'!$C$5:$C$5000=I213),0)),""))</f>
        <v/>
      </c>
      <c r="K213" s="56">
        <f>IF(A213="","",IFERROR(INDEX('Turn Log'!$R$5:$R$5000,MATCH(1,('Turn Log'!$B$5:$B$5000=A213)*('Turn Log'!$C$5:$C$5000=I213),0)),""))</f>
        <v/>
      </c>
      <c r="L213" s="56">
        <f>IF(A213="","",COUNTIFS('Turn Log'!$B$5:$B$5000,A213,'Turn Log'!$X$5:$X$5000,1))</f>
        <v/>
      </c>
      <c r="M213" s="56">
        <f>IF(A213="","",COUNTIFS('Turn Log'!$B$5:$B$5000,A213,'Turn Log'!$Y$5:$Y$5000,1))</f>
        <v/>
      </c>
      <c r="N213" s="56">
        <f>IF(A213="","",COUNTIFS('Turn Log'!$B$5:$B$5000,A213,'Turn Log'!$W$5:$W$5000,1))</f>
        <v/>
      </c>
      <c r="O213" s="56">
        <f>IF(H213="","No","Yes")</f>
        <v/>
      </c>
      <c r="P213" s="56">
        <f>IF(A213="","",COUNTIFS('Stability Checks'!$A$5:$A$2000,A213,'Stability Checks'!$C$5:$C$2000,"Re-execution",'Stability Checks'!$E$5:$E$2000,"Pass"))</f>
        <v/>
      </c>
      <c r="Q213" s="56">
        <f>IF(A213="","",COUNTIFS('Stability Checks'!$A$5:$A$2000,A213,'Stability Checks'!$C$5:$C$2000,"Re-prompt",'Stability Checks'!$E$5:$E$2000,"Pass"))</f>
        <v/>
      </c>
      <c r="R213" s="47">
        <f>IF(A213="","",'Run Plan'!Q213)</f>
        <v/>
      </c>
      <c r="S213" s="50" t="n"/>
    </row>
    <row r="214" ht="15.75" customHeight="1" s="40">
      <c r="A214" s="55">
        <f>IF('Run Plan'!A214="","",'Run Plan'!A214)</f>
        <v/>
      </c>
      <c r="B214" s="55">
        <f>IF(A214="","",'Run Plan'!C214)</f>
        <v/>
      </c>
      <c r="C214" s="55">
        <f>IF(A214="","",'Run Plan'!E214)</f>
        <v/>
      </c>
      <c r="D214" s="54">
        <f>IF(A214="","",'Run Plan'!G214)</f>
        <v/>
      </c>
      <c r="E214" s="47">
        <f>IF(A214="","",'Run Plan'!K214)</f>
        <v/>
      </c>
      <c r="F214" s="47">
        <f>IF(A214="","",'Run Plan'!J214)</f>
        <v/>
      </c>
      <c r="G214" s="56">
        <f>IF(A214="","",COUNTIF('Turn Log'!$B$5:$B$5000,A214))</f>
        <v/>
      </c>
      <c r="H214" s="56">
        <f>IF(A214="","",IFERROR(MINIFS('Turn Log'!$C$5:$C$5000,'Turn Log'!$B$5:$B$5000,A214,'Turn Log'!$Q$5:$Q$5000,"Pass"),""))</f>
        <v/>
      </c>
      <c r="I214" s="56">
        <f>IF(A214="","",IFERROR(MAXIFS('Turn Log'!$C$5:$C$5000,'Turn Log'!$B$5:$B$5000,A214),""))</f>
        <v/>
      </c>
      <c r="J214" s="56">
        <f>IF(A214="","",IFERROR(INDEX('Turn Log'!$Q$5:$Q$5000,MATCH(1,('Turn Log'!$B$5:$B$5000=A214)*('Turn Log'!$C$5:$C$5000=I214),0)),""))</f>
        <v/>
      </c>
      <c r="K214" s="56">
        <f>IF(A214="","",IFERROR(INDEX('Turn Log'!$R$5:$R$5000,MATCH(1,('Turn Log'!$B$5:$B$5000=A214)*('Turn Log'!$C$5:$C$5000=I214),0)),""))</f>
        <v/>
      </c>
      <c r="L214" s="56">
        <f>IF(A214="","",COUNTIFS('Turn Log'!$B$5:$B$5000,A214,'Turn Log'!$X$5:$X$5000,1))</f>
        <v/>
      </c>
      <c r="M214" s="56">
        <f>IF(A214="","",COUNTIFS('Turn Log'!$B$5:$B$5000,A214,'Turn Log'!$Y$5:$Y$5000,1))</f>
        <v/>
      </c>
      <c r="N214" s="56">
        <f>IF(A214="","",COUNTIFS('Turn Log'!$B$5:$B$5000,A214,'Turn Log'!$W$5:$W$5000,1))</f>
        <v/>
      </c>
      <c r="O214" s="56">
        <f>IF(H214="","No","Yes")</f>
        <v/>
      </c>
      <c r="P214" s="56">
        <f>IF(A214="","",COUNTIFS('Stability Checks'!$A$5:$A$2000,A214,'Stability Checks'!$C$5:$C$2000,"Re-execution",'Stability Checks'!$E$5:$E$2000,"Pass"))</f>
        <v/>
      </c>
      <c r="Q214" s="56">
        <f>IF(A214="","",COUNTIFS('Stability Checks'!$A$5:$A$2000,A214,'Stability Checks'!$C$5:$C$2000,"Re-prompt",'Stability Checks'!$E$5:$E$2000,"Pass"))</f>
        <v/>
      </c>
      <c r="R214" s="47">
        <f>IF(A214="","",'Run Plan'!Q214)</f>
        <v/>
      </c>
      <c r="S214" s="50" t="n"/>
    </row>
    <row r="215" ht="15.75" customHeight="1" s="40">
      <c r="A215" s="55">
        <f>IF('Run Plan'!A215="","",'Run Plan'!A215)</f>
        <v/>
      </c>
      <c r="B215" s="55">
        <f>IF(A215="","",'Run Plan'!C215)</f>
        <v/>
      </c>
      <c r="C215" s="55">
        <f>IF(A215="","",'Run Plan'!E215)</f>
        <v/>
      </c>
      <c r="D215" s="54">
        <f>IF(A215="","",'Run Plan'!G215)</f>
        <v/>
      </c>
      <c r="E215" s="47">
        <f>IF(A215="","",'Run Plan'!K215)</f>
        <v/>
      </c>
      <c r="F215" s="47">
        <f>IF(A215="","",'Run Plan'!J215)</f>
        <v/>
      </c>
      <c r="G215" s="56">
        <f>IF(A215="","",COUNTIF('Turn Log'!$B$5:$B$5000,A215))</f>
        <v/>
      </c>
      <c r="H215" s="56">
        <f>IF(A215="","",IFERROR(MINIFS('Turn Log'!$C$5:$C$5000,'Turn Log'!$B$5:$B$5000,A215,'Turn Log'!$Q$5:$Q$5000,"Pass"),""))</f>
        <v/>
      </c>
      <c r="I215" s="56">
        <f>IF(A215="","",IFERROR(MAXIFS('Turn Log'!$C$5:$C$5000,'Turn Log'!$B$5:$B$5000,A215),""))</f>
        <v/>
      </c>
      <c r="J215" s="56">
        <f>IF(A215="","",IFERROR(INDEX('Turn Log'!$Q$5:$Q$5000,MATCH(1,('Turn Log'!$B$5:$B$5000=A215)*('Turn Log'!$C$5:$C$5000=I215),0)),""))</f>
        <v/>
      </c>
      <c r="K215" s="56">
        <f>IF(A215="","",IFERROR(INDEX('Turn Log'!$R$5:$R$5000,MATCH(1,('Turn Log'!$B$5:$B$5000=A215)*('Turn Log'!$C$5:$C$5000=I215),0)),""))</f>
        <v/>
      </c>
      <c r="L215" s="56">
        <f>IF(A215="","",COUNTIFS('Turn Log'!$B$5:$B$5000,A215,'Turn Log'!$X$5:$X$5000,1))</f>
        <v/>
      </c>
      <c r="M215" s="56">
        <f>IF(A215="","",COUNTIFS('Turn Log'!$B$5:$B$5000,A215,'Turn Log'!$Y$5:$Y$5000,1))</f>
        <v/>
      </c>
      <c r="N215" s="56">
        <f>IF(A215="","",COUNTIFS('Turn Log'!$B$5:$B$5000,A215,'Turn Log'!$W$5:$W$5000,1))</f>
        <v/>
      </c>
      <c r="O215" s="56">
        <f>IF(H215="","No","Yes")</f>
        <v/>
      </c>
      <c r="P215" s="56">
        <f>IF(A215="","",COUNTIFS('Stability Checks'!$A$5:$A$2000,A215,'Stability Checks'!$C$5:$C$2000,"Re-execution",'Stability Checks'!$E$5:$E$2000,"Pass"))</f>
        <v/>
      </c>
      <c r="Q215" s="56">
        <f>IF(A215="","",COUNTIFS('Stability Checks'!$A$5:$A$2000,A215,'Stability Checks'!$C$5:$C$2000,"Re-prompt",'Stability Checks'!$E$5:$E$2000,"Pass"))</f>
        <v/>
      </c>
      <c r="R215" s="47">
        <f>IF(A215="","",'Run Plan'!Q215)</f>
        <v/>
      </c>
      <c r="S215" s="50" t="n"/>
    </row>
    <row r="216" ht="15.75" customHeight="1" s="40">
      <c r="A216" s="55">
        <f>IF('Run Plan'!A216="","",'Run Plan'!A216)</f>
        <v/>
      </c>
      <c r="B216" s="55">
        <f>IF(A216="","",'Run Plan'!C216)</f>
        <v/>
      </c>
      <c r="C216" s="55">
        <f>IF(A216="","",'Run Plan'!E216)</f>
        <v/>
      </c>
      <c r="D216" s="54">
        <f>IF(A216="","",'Run Plan'!G216)</f>
        <v/>
      </c>
      <c r="E216" s="47">
        <f>IF(A216="","",'Run Plan'!K216)</f>
        <v/>
      </c>
      <c r="F216" s="47">
        <f>IF(A216="","",'Run Plan'!J216)</f>
        <v/>
      </c>
      <c r="G216" s="56">
        <f>IF(A216="","",COUNTIF('Turn Log'!$B$5:$B$5000,A216))</f>
        <v/>
      </c>
      <c r="H216" s="56">
        <f>IF(A216="","",IFERROR(MINIFS('Turn Log'!$C$5:$C$5000,'Turn Log'!$B$5:$B$5000,A216,'Turn Log'!$Q$5:$Q$5000,"Pass"),""))</f>
        <v/>
      </c>
      <c r="I216" s="56">
        <f>IF(A216="","",IFERROR(MAXIFS('Turn Log'!$C$5:$C$5000,'Turn Log'!$B$5:$B$5000,A216),""))</f>
        <v/>
      </c>
      <c r="J216" s="56">
        <f>IF(A216="","",IFERROR(INDEX('Turn Log'!$Q$5:$Q$5000,MATCH(1,('Turn Log'!$B$5:$B$5000=A216)*('Turn Log'!$C$5:$C$5000=I216),0)),""))</f>
        <v/>
      </c>
      <c r="K216" s="56">
        <f>IF(A216="","",IFERROR(INDEX('Turn Log'!$R$5:$R$5000,MATCH(1,('Turn Log'!$B$5:$B$5000=A216)*('Turn Log'!$C$5:$C$5000=I216),0)),""))</f>
        <v/>
      </c>
      <c r="L216" s="56">
        <f>IF(A216="","",COUNTIFS('Turn Log'!$B$5:$B$5000,A216,'Turn Log'!$X$5:$X$5000,1))</f>
        <v/>
      </c>
      <c r="M216" s="56">
        <f>IF(A216="","",COUNTIFS('Turn Log'!$B$5:$B$5000,A216,'Turn Log'!$Y$5:$Y$5000,1))</f>
        <v/>
      </c>
      <c r="N216" s="56">
        <f>IF(A216="","",COUNTIFS('Turn Log'!$B$5:$B$5000,A216,'Turn Log'!$W$5:$W$5000,1))</f>
        <v/>
      </c>
      <c r="O216" s="56">
        <f>IF(H216="","No","Yes")</f>
        <v/>
      </c>
      <c r="P216" s="56">
        <f>IF(A216="","",COUNTIFS('Stability Checks'!$A$5:$A$2000,A216,'Stability Checks'!$C$5:$C$2000,"Re-execution",'Stability Checks'!$E$5:$E$2000,"Pass"))</f>
        <v/>
      </c>
      <c r="Q216" s="56">
        <f>IF(A216="","",COUNTIFS('Stability Checks'!$A$5:$A$2000,A216,'Stability Checks'!$C$5:$C$2000,"Re-prompt",'Stability Checks'!$E$5:$E$2000,"Pass"))</f>
        <v/>
      </c>
      <c r="R216" s="47">
        <f>IF(A216="","",'Run Plan'!Q216)</f>
        <v/>
      </c>
      <c r="S216" s="50" t="n"/>
    </row>
    <row r="217" ht="15.75" customHeight="1" s="40">
      <c r="A217" s="55">
        <f>IF('Run Plan'!A217="","",'Run Plan'!A217)</f>
        <v/>
      </c>
      <c r="B217" s="55">
        <f>IF(A217="","",'Run Plan'!C217)</f>
        <v/>
      </c>
      <c r="C217" s="55">
        <f>IF(A217="","",'Run Plan'!E217)</f>
        <v/>
      </c>
      <c r="D217" s="54">
        <f>IF(A217="","",'Run Plan'!G217)</f>
        <v/>
      </c>
      <c r="E217" s="47">
        <f>IF(A217="","",'Run Plan'!K217)</f>
        <v/>
      </c>
      <c r="F217" s="47">
        <f>IF(A217="","",'Run Plan'!J217)</f>
        <v/>
      </c>
      <c r="G217" s="56">
        <f>IF(A217="","",COUNTIF('Turn Log'!$B$5:$B$5000,A217))</f>
        <v/>
      </c>
      <c r="H217" s="56">
        <f>IF(A217="","",IFERROR(MINIFS('Turn Log'!$C$5:$C$5000,'Turn Log'!$B$5:$B$5000,A217,'Turn Log'!$Q$5:$Q$5000,"Pass"),""))</f>
        <v/>
      </c>
      <c r="I217" s="56">
        <f>IF(A217="","",IFERROR(MAXIFS('Turn Log'!$C$5:$C$5000,'Turn Log'!$B$5:$B$5000,A217),""))</f>
        <v/>
      </c>
      <c r="J217" s="56">
        <f>IF(A217="","",IFERROR(INDEX('Turn Log'!$Q$5:$Q$5000,MATCH(1,('Turn Log'!$B$5:$B$5000=A217)*('Turn Log'!$C$5:$C$5000=I217),0)),""))</f>
        <v/>
      </c>
      <c r="K217" s="56">
        <f>IF(A217="","",IFERROR(INDEX('Turn Log'!$R$5:$R$5000,MATCH(1,('Turn Log'!$B$5:$B$5000=A217)*('Turn Log'!$C$5:$C$5000=I217),0)),""))</f>
        <v/>
      </c>
      <c r="L217" s="56">
        <f>IF(A217="","",COUNTIFS('Turn Log'!$B$5:$B$5000,A217,'Turn Log'!$X$5:$X$5000,1))</f>
        <v/>
      </c>
      <c r="M217" s="56">
        <f>IF(A217="","",COUNTIFS('Turn Log'!$B$5:$B$5000,A217,'Turn Log'!$Y$5:$Y$5000,1))</f>
        <v/>
      </c>
      <c r="N217" s="56">
        <f>IF(A217="","",COUNTIFS('Turn Log'!$B$5:$B$5000,A217,'Turn Log'!$W$5:$W$5000,1))</f>
        <v/>
      </c>
      <c r="O217" s="56">
        <f>IF(H217="","No","Yes")</f>
        <v/>
      </c>
      <c r="P217" s="56">
        <f>IF(A217="","",COUNTIFS('Stability Checks'!$A$5:$A$2000,A217,'Stability Checks'!$C$5:$C$2000,"Re-execution",'Stability Checks'!$E$5:$E$2000,"Pass"))</f>
        <v/>
      </c>
      <c r="Q217" s="56">
        <f>IF(A217="","",COUNTIFS('Stability Checks'!$A$5:$A$2000,A217,'Stability Checks'!$C$5:$C$2000,"Re-prompt",'Stability Checks'!$E$5:$E$2000,"Pass"))</f>
        <v/>
      </c>
      <c r="R217" s="47">
        <f>IF(A217="","",'Run Plan'!Q217)</f>
        <v/>
      </c>
      <c r="S217" s="50" t="n"/>
    </row>
    <row r="218" ht="15.75" customHeight="1" s="40">
      <c r="A218" s="55">
        <f>IF('Run Plan'!A218="","",'Run Plan'!A218)</f>
        <v/>
      </c>
      <c r="B218" s="55">
        <f>IF(A218="","",'Run Plan'!C218)</f>
        <v/>
      </c>
      <c r="C218" s="55">
        <f>IF(A218="","",'Run Plan'!E218)</f>
        <v/>
      </c>
      <c r="D218" s="54">
        <f>IF(A218="","",'Run Plan'!G218)</f>
        <v/>
      </c>
      <c r="E218" s="47">
        <f>IF(A218="","",'Run Plan'!K218)</f>
        <v/>
      </c>
      <c r="F218" s="47">
        <f>IF(A218="","",'Run Plan'!J218)</f>
        <v/>
      </c>
      <c r="G218" s="56">
        <f>IF(A218="","",COUNTIF('Turn Log'!$B$5:$B$5000,A218))</f>
        <v/>
      </c>
      <c r="H218" s="56">
        <f>IF(A218="","",IFERROR(MINIFS('Turn Log'!$C$5:$C$5000,'Turn Log'!$B$5:$B$5000,A218,'Turn Log'!$Q$5:$Q$5000,"Pass"),""))</f>
        <v/>
      </c>
      <c r="I218" s="56">
        <f>IF(A218="","",IFERROR(MAXIFS('Turn Log'!$C$5:$C$5000,'Turn Log'!$B$5:$B$5000,A218),""))</f>
        <v/>
      </c>
      <c r="J218" s="56">
        <f>IF(A218="","",IFERROR(INDEX('Turn Log'!$Q$5:$Q$5000,MATCH(1,('Turn Log'!$B$5:$B$5000=A218)*('Turn Log'!$C$5:$C$5000=I218),0)),""))</f>
        <v/>
      </c>
      <c r="K218" s="56">
        <f>IF(A218="","",IFERROR(INDEX('Turn Log'!$R$5:$R$5000,MATCH(1,('Turn Log'!$B$5:$B$5000=A218)*('Turn Log'!$C$5:$C$5000=I218),0)),""))</f>
        <v/>
      </c>
      <c r="L218" s="56">
        <f>IF(A218="","",COUNTIFS('Turn Log'!$B$5:$B$5000,A218,'Turn Log'!$X$5:$X$5000,1))</f>
        <v/>
      </c>
      <c r="M218" s="56">
        <f>IF(A218="","",COUNTIFS('Turn Log'!$B$5:$B$5000,A218,'Turn Log'!$Y$5:$Y$5000,1))</f>
        <v/>
      </c>
      <c r="N218" s="56">
        <f>IF(A218="","",COUNTIFS('Turn Log'!$B$5:$B$5000,A218,'Turn Log'!$W$5:$W$5000,1))</f>
        <v/>
      </c>
      <c r="O218" s="56">
        <f>IF(H218="","No","Yes")</f>
        <v/>
      </c>
      <c r="P218" s="56">
        <f>IF(A218="","",COUNTIFS('Stability Checks'!$A$5:$A$2000,A218,'Stability Checks'!$C$5:$C$2000,"Re-execution",'Stability Checks'!$E$5:$E$2000,"Pass"))</f>
        <v/>
      </c>
      <c r="Q218" s="56">
        <f>IF(A218="","",COUNTIFS('Stability Checks'!$A$5:$A$2000,A218,'Stability Checks'!$C$5:$C$2000,"Re-prompt",'Stability Checks'!$E$5:$E$2000,"Pass"))</f>
        <v/>
      </c>
      <c r="R218" s="47">
        <f>IF(A218="","",'Run Plan'!Q218)</f>
        <v/>
      </c>
      <c r="S218" s="50" t="n"/>
    </row>
    <row r="219" ht="15.75" customHeight="1" s="40">
      <c r="A219" s="55">
        <f>IF('Run Plan'!A219="","",'Run Plan'!A219)</f>
        <v/>
      </c>
      <c r="B219" s="55">
        <f>IF(A219="","",'Run Plan'!C219)</f>
        <v/>
      </c>
      <c r="C219" s="55">
        <f>IF(A219="","",'Run Plan'!E219)</f>
        <v/>
      </c>
      <c r="D219" s="54">
        <f>IF(A219="","",'Run Plan'!G219)</f>
        <v/>
      </c>
      <c r="E219" s="47">
        <f>IF(A219="","",'Run Plan'!K219)</f>
        <v/>
      </c>
      <c r="F219" s="47">
        <f>IF(A219="","",'Run Plan'!J219)</f>
        <v/>
      </c>
      <c r="G219" s="56">
        <f>IF(A219="","",COUNTIF('Turn Log'!$B$5:$B$5000,A219))</f>
        <v/>
      </c>
      <c r="H219" s="56">
        <f>IF(A219="","",IFERROR(MINIFS('Turn Log'!$C$5:$C$5000,'Turn Log'!$B$5:$B$5000,A219,'Turn Log'!$Q$5:$Q$5000,"Pass"),""))</f>
        <v/>
      </c>
      <c r="I219" s="56">
        <f>IF(A219="","",IFERROR(MAXIFS('Turn Log'!$C$5:$C$5000,'Turn Log'!$B$5:$B$5000,A219),""))</f>
        <v/>
      </c>
      <c r="J219" s="56">
        <f>IF(A219="","",IFERROR(INDEX('Turn Log'!$Q$5:$Q$5000,MATCH(1,('Turn Log'!$B$5:$B$5000=A219)*('Turn Log'!$C$5:$C$5000=I219),0)),""))</f>
        <v/>
      </c>
      <c r="K219" s="56">
        <f>IF(A219="","",IFERROR(INDEX('Turn Log'!$R$5:$R$5000,MATCH(1,('Turn Log'!$B$5:$B$5000=A219)*('Turn Log'!$C$5:$C$5000=I219),0)),""))</f>
        <v/>
      </c>
      <c r="L219" s="56">
        <f>IF(A219="","",COUNTIFS('Turn Log'!$B$5:$B$5000,A219,'Turn Log'!$X$5:$X$5000,1))</f>
        <v/>
      </c>
      <c r="M219" s="56">
        <f>IF(A219="","",COUNTIFS('Turn Log'!$B$5:$B$5000,A219,'Turn Log'!$Y$5:$Y$5000,1))</f>
        <v/>
      </c>
      <c r="N219" s="56">
        <f>IF(A219="","",COUNTIFS('Turn Log'!$B$5:$B$5000,A219,'Turn Log'!$W$5:$W$5000,1))</f>
        <v/>
      </c>
      <c r="O219" s="56">
        <f>IF(H219="","No","Yes")</f>
        <v/>
      </c>
      <c r="P219" s="56">
        <f>IF(A219="","",COUNTIFS('Stability Checks'!$A$5:$A$2000,A219,'Stability Checks'!$C$5:$C$2000,"Re-execution",'Stability Checks'!$E$5:$E$2000,"Pass"))</f>
        <v/>
      </c>
      <c r="Q219" s="56">
        <f>IF(A219="","",COUNTIFS('Stability Checks'!$A$5:$A$2000,A219,'Stability Checks'!$C$5:$C$2000,"Re-prompt",'Stability Checks'!$E$5:$E$2000,"Pass"))</f>
        <v/>
      </c>
      <c r="R219" s="47">
        <f>IF(A219="","",'Run Plan'!Q219)</f>
        <v/>
      </c>
      <c r="S219" s="50" t="n"/>
    </row>
    <row r="220" ht="15.75" customHeight="1" s="40">
      <c r="A220" s="55">
        <f>IF('Run Plan'!A220="","",'Run Plan'!A220)</f>
        <v/>
      </c>
      <c r="B220" s="55">
        <f>IF(A220="","",'Run Plan'!C220)</f>
        <v/>
      </c>
      <c r="C220" s="55">
        <f>IF(A220="","",'Run Plan'!E220)</f>
        <v/>
      </c>
      <c r="D220" s="54">
        <f>IF(A220="","",'Run Plan'!G220)</f>
        <v/>
      </c>
      <c r="E220" s="47">
        <f>IF(A220="","",'Run Plan'!K220)</f>
        <v/>
      </c>
      <c r="F220" s="47">
        <f>IF(A220="","",'Run Plan'!J220)</f>
        <v/>
      </c>
      <c r="G220" s="56">
        <f>IF(A220="","",COUNTIF('Turn Log'!$B$5:$B$5000,A220))</f>
        <v/>
      </c>
      <c r="H220" s="56">
        <f>IF(A220="","",IFERROR(MINIFS('Turn Log'!$C$5:$C$5000,'Turn Log'!$B$5:$B$5000,A220,'Turn Log'!$Q$5:$Q$5000,"Pass"),""))</f>
        <v/>
      </c>
      <c r="I220" s="56">
        <f>IF(A220="","",IFERROR(MAXIFS('Turn Log'!$C$5:$C$5000,'Turn Log'!$B$5:$B$5000,A220),""))</f>
        <v/>
      </c>
      <c r="J220" s="56">
        <f>IF(A220="","",IFERROR(INDEX('Turn Log'!$Q$5:$Q$5000,MATCH(1,('Turn Log'!$B$5:$B$5000=A220)*('Turn Log'!$C$5:$C$5000=I220),0)),""))</f>
        <v/>
      </c>
      <c r="K220" s="56">
        <f>IF(A220="","",IFERROR(INDEX('Turn Log'!$R$5:$R$5000,MATCH(1,('Turn Log'!$B$5:$B$5000=A220)*('Turn Log'!$C$5:$C$5000=I220),0)),""))</f>
        <v/>
      </c>
      <c r="L220" s="56">
        <f>IF(A220="","",COUNTIFS('Turn Log'!$B$5:$B$5000,A220,'Turn Log'!$X$5:$X$5000,1))</f>
        <v/>
      </c>
      <c r="M220" s="56">
        <f>IF(A220="","",COUNTIFS('Turn Log'!$B$5:$B$5000,A220,'Turn Log'!$Y$5:$Y$5000,1))</f>
        <v/>
      </c>
      <c r="N220" s="56">
        <f>IF(A220="","",COUNTIFS('Turn Log'!$B$5:$B$5000,A220,'Turn Log'!$W$5:$W$5000,1))</f>
        <v/>
      </c>
      <c r="O220" s="56">
        <f>IF(H220="","No","Yes")</f>
        <v/>
      </c>
      <c r="P220" s="56">
        <f>IF(A220="","",COUNTIFS('Stability Checks'!$A$5:$A$2000,A220,'Stability Checks'!$C$5:$C$2000,"Re-execution",'Stability Checks'!$E$5:$E$2000,"Pass"))</f>
        <v/>
      </c>
      <c r="Q220" s="56">
        <f>IF(A220="","",COUNTIFS('Stability Checks'!$A$5:$A$2000,A220,'Stability Checks'!$C$5:$C$2000,"Re-prompt",'Stability Checks'!$E$5:$E$2000,"Pass"))</f>
        <v/>
      </c>
      <c r="R220" s="47">
        <f>IF(A220="","",'Run Plan'!Q220)</f>
        <v/>
      </c>
      <c r="S220" s="50" t="n"/>
    </row>
    <row r="221" ht="15.75" customHeight="1" s="40">
      <c r="A221" s="55">
        <f>IF('Run Plan'!A221="","",'Run Plan'!A221)</f>
        <v/>
      </c>
      <c r="B221" s="55">
        <f>IF(A221="","",'Run Plan'!C221)</f>
        <v/>
      </c>
      <c r="C221" s="55">
        <f>IF(A221="","",'Run Plan'!E221)</f>
        <v/>
      </c>
      <c r="D221" s="54">
        <f>IF(A221="","",'Run Plan'!G221)</f>
        <v/>
      </c>
      <c r="E221" s="47">
        <f>IF(A221="","",'Run Plan'!K221)</f>
        <v/>
      </c>
      <c r="F221" s="47">
        <f>IF(A221="","",'Run Plan'!J221)</f>
        <v/>
      </c>
      <c r="G221" s="56">
        <f>IF(A221="","",COUNTIF('Turn Log'!$B$5:$B$5000,A221))</f>
        <v/>
      </c>
      <c r="H221" s="56">
        <f>IF(A221="","",IFERROR(MINIFS('Turn Log'!$C$5:$C$5000,'Turn Log'!$B$5:$B$5000,A221,'Turn Log'!$Q$5:$Q$5000,"Pass"),""))</f>
        <v/>
      </c>
      <c r="I221" s="56">
        <f>IF(A221="","",IFERROR(MAXIFS('Turn Log'!$C$5:$C$5000,'Turn Log'!$B$5:$B$5000,A221),""))</f>
        <v/>
      </c>
      <c r="J221" s="56">
        <f>IF(A221="","",IFERROR(INDEX('Turn Log'!$Q$5:$Q$5000,MATCH(1,('Turn Log'!$B$5:$B$5000=A221)*('Turn Log'!$C$5:$C$5000=I221),0)),""))</f>
        <v/>
      </c>
      <c r="K221" s="56">
        <f>IF(A221="","",IFERROR(INDEX('Turn Log'!$R$5:$R$5000,MATCH(1,('Turn Log'!$B$5:$B$5000=A221)*('Turn Log'!$C$5:$C$5000=I221),0)),""))</f>
        <v/>
      </c>
      <c r="L221" s="56">
        <f>IF(A221="","",COUNTIFS('Turn Log'!$B$5:$B$5000,A221,'Turn Log'!$X$5:$X$5000,1))</f>
        <v/>
      </c>
      <c r="M221" s="56">
        <f>IF(A221="","",COUNTIFS('Turn Log'!$B$5:$B$5000,A221,'Turn Log'!$Y$5:$Y$5000,1))</f>
        <v/>
      </c>
      <c r="N221" s="56">
        <f>IF(A221="","",COUNTIFS('Turn Log'!$B$5:$B$5000,A221,'Turn Log'!$W$5:$W$5000,1))</f>
        <v/>
      </c>
      <c r="O221" s="56">
        <f>IF(H221="","No","Yes")</f>
        <v/>
      </c>
      <c r="P221" s="56">
        <f>IF(A221="","",COUNTIFS('Stability Checks'!$A$5:$A$2000,A221,'Stability Checks'!$C$5:$C$2000,"Re-execution",'Stability Checks'!$E$5:$E$2000,"Pass"))</f>
        <v/>
      </c>
      <c r="Q221" s="56">
        <f>IF(A221="","",COUNTIFS('Stability Checks'!$A$5:$A$2000,A221,'Stability Checks'!$C$5:$C$2000,"Re-prompt",'Stability Checks'!$E$5:$E$2000,"Pass"))</f>
        <v/>
      </c>
      <c r="R221" s="47">
        <f>IF(A221="","",'Run Plan'!Q221)</f>
        <v/>
      </c>
      <c r="S221" s="50" t="n"/>
    </row>
    <row r="222" ht="15.75" customHeight="1" s="40">
      <c r="A222" s="55">
        <f>IF('Run Plan'!A222="","",'Run Plan'!A222)</f>
        <v/>
      </c>
      <c r="B222" s="55">
        <f>IF(A222="","",'Run Plan'!C222)</f>
        <v/>
      </c>
      <c r="C222" s="55">
        <f>IF(A222="","",'Run Plan'!E222)</f>
        <v/>
      </c>
      <c r="D222" s="54">
        <f>IF(A222="","",'Run Plan'!G222)</f>
        <v/>
      </c>
      <c r="E222" s="47">
        <f>IF(A222="","",'Run Plan'!K222)</f>
        <v/>
      </c>
      <c r="F222" s="47">
        <f>IF(A222="","",'Run Plan'!J222)</f>
        <v/>
      </c>
      <c r="G222" s="56">
        <f>IF(A222="","",COUNTIF('Turn Log'!$B$5:$B$5000,A222))</f>
        <v/>
      </c>
      <c r="H222" s="56">
        <f>IF(A222="","",IFERROR(MINIFS('Turn Log'!$C$5:$C$5000,'Turn Log'!$B$5:$B$5000,A222,'Turn Log'!$Q$5:$Q$5000,"Pass"),""))</f>
        <v/>
      </c>
      <c r="I222" s="56">
        <f>IF(A222="","",IFERROR(MAXIFS('Turn Log'!$C$5:$C$5000,'Turn Log'!$B$5:$B$5000,A222),""))</f>
        <v/>
      </c>
      <c r="J222" s="56">
        <f>IF(A222="","",IFERROR(INDEX('Turn Log'!$Q$5:$Q$5000,MATCH(1,('Turn Log'!$B$5:$B$5000=A222)*('Turn Log'!$C$5:$C$5000=I222),0)),""))</f>
        <v/>
      </c>
      <c r="K222" s="56">
        <f>IF(A222="","",IFERROR(INDEX('Turn Log'!$R$5:$R$5000,MATCH(1,('Turn Log'!$B$5:$B$5000=A222)*('Turn Log'!$C$5:$C$5000=I222),0)),""))</f>
        <v/>
      </c>
      <c r="L222" s="56">
        <f>IF(A222="","",COUNTIFS('Turn Log'!$B$5:$B$5000,A222,'Turn Log'!$X$5:$X$5000,1))</f>
        <v/>
      </c>
      <c r="M222" s="56">
        <f>IF(A222="","",COUNTIFS('Turn Log'!$B$5:$B$5000,A222,'Turn Log'!$Y$5:$Y$5000,1))</f>
        <v/>
      </c>
      <c r="N222" s="56">
        <f>IF(A222="","",COUNTIFS('Turn Log'!$B$5:$B$5000,A222,'Turn Log'!$W$5:$W$5000,1))</f>
        <v/>
      </c>
      <c r="O222" s="56">
        <f>IF(H222="","No","Yes")</f>
        <v/>
      </c>
      <c r="P222" s="56">
        <f>IF(A222="","",COUNTIFS('Stability Checks'!$A$5:$A$2000,A222,'Stability Checks'!$C$5:$C$2000,"Re-execution",'Stability Checks'!$E$5:$E$2000,"Pass"))</f>
        <v/>
      </c>
      <c r="Q222" s="56">
        <f>IF(A222="","",COUNTIFS('Stability Checks'!$A$5:$A$2000,A222,'Stability Checks'!$C$5:$C$2000,"Re-prompt",'Stability Checks'!$E$5:$E$2000,"Pass"))</f>
        <v/>
      </c>
      <c r="R222" s="47">
        <f>IF(A222="","",'Run Plan'!Q222)</f>
        <v/>
      </c>
      <c r="S222" s="50" t="n"/>
    </row>
    <row r="223" ht="15.75" customHeight="1" s="40">
      <c r="A223" s="55">
        <f>IF('Run Plan'!A223="","",'Run Plan'!A223)</f>
        <v/>
      </c>
      <c r="B223" s="55">
        <f>IF(A223="","",'Run Plan'!C223)</f>
        <v/>
      </c>
      <c r="C223" s="55">
        <f>IF(A223="","",'Run Plan'!E223)</f>
        <v/>
      </c>
      <c r="D223" s="54">
        <f>IF(A223="","",'Run Plan'!G223)</f>
        <v/>
      </c>
      <c r="E223" s="47">
        <f>IF(A223="","",'Run Plan'!K223)</f>
        <v/>
      </c>
      <c r="F223" s="47">
        <f>IF(A223="","",'Run Plan'!J223)</f>
        <v/>
      </c>
      <c r="G223" s="56">
        <f>IF(A223="","",COUNTIF('Turn Log'!$B$5:$B$5000,A223))</f>
        <v/>
      </c>
      <c r="H223" s="56">
        <f>IF(A223="","",IFERROR(MINIFS('Turn Log'!$C$5:$C$5000,'Turn Log'!$B$5:$B$5000,A223,'Turn Log'!$Q$5:$Q$5000,"Pass"),""))</f>
        <v/>
      </c>
      <c r="I223" s="56">
        <f>IF(A223="","",IFERROR(MAXIFS('Turn Log'!$C$5:$C$5000,'Turn Log'!$B$5:$B$5000,A223),""))</f>
        <v/>
      </c>
      <c r="J223" s="56">
        <f>IF(A223="","",IFERROR(INDEX('Turn Log'!$Q$5:$Q$5000,MATCH(1,('Turn Log'!$B$5:$B$5000=A223)*('Turn Log'!$C$5:$C$5000=I223),0)),""))</f>
        <v/>
      </c>
      <c r="K223" s="56">
        <f>IF(A223="","",IFERROR(INDEX('Turn Log'!$R$5:$R$5000,MATCH(1,('Turn Log'!$B$5:$B$5000=A223)*('Turn Log'!$C$5:$C$5000=I223),0)),""))</f>
        <v/>
      </c>
      <c r="L223" s="56">
        <f>IF(A223="","",COUNTIFS('Turn Log'!$B$5:$B$5000,A223,'Turn Log'!$X$5:$X$5000,1))</f>
        <v/>
      </c>
      <c r="M223" s="56">
        <f>IF(A223="","",COUNTIFS('Turn Log'!$B$5:$B$5000,A223,'Turn Log'!$Y$5:$Y$5000,1))</f>
        <v/>
      </c>
      <c r="N223" s="56">
        <f>IF(A223="","",COUNTIFS('Turn Log'!$B$5:$B$5000,A223,'Turn Log'!$W$5:$W$5000,1))</f>
        <v/>
      </c>
      <c r="O223" s="56">
        <f>IF(H223="","No","Yes")</f>
        <v/>
      </c>
      <c r="P223" s="56">
        <f>IF(A223="","",COUNTIFS('Stability Checks'!$A$5:$A$2000,A223,'Stability Checks'!$C$5:$C$2000,"Re-execution",'Stability Checks'!$E$5:$E$2000,"Pass"))</f>
        <v/>
      </c>
      <c r="Q223" s="56">
        <f>IF(A223="","",COUNTIFS('Stability Checks'!$A$5:$A$2000,A223,'Stability Checks'!$C$5:$C$2000,"Re-prompt",'Stability Checks'!$E$5:$E$2000,"Pass"))</f>
        <v/>
      </c>
      <c r="R223" s="47">
        <f>IF(A223="","",'Run Plan'!Q223)</f>
        <v/>
      </c>
      <c r="S223" s="50" t="n"/>
    </row>
    <row r="224" ht="15.75" customHeight="1" s="40">
      <c r="A224" s="55">
        <f>IF('Run Plan'!A224="","",'Run Plan'!A224)</f>
        <v/>
      </c>
      <c r="B224" s="55">
        <f>IF(A224="","",'Run Plan'!C224)</f>
        <v/>
      </c>
      <c r="C224" s="55">
        <f>IF(A224="","",'Run Plan'!E224)</f>
        <v/>
      </c>
      <c r="D224" s="54">
        <f>IF(A224="","",'Run Plan'!G224)</f>
        <v/>
      </c>
      <c r="E224" s="47">
        <f>IF(A224="","",'Run Plan'!K224)</f>
        <v/>
      </c>
      <c r="F224" s="47">
        <f>IF(A224="","",'Run Plan'!J224)</f>
        <v/>
      </c>
      <c r="G224" s="56">
        <f>IF(A224="","",COUNTIF('Turn Log'!$B$5:$B$5000,A224))</f>
        <v/>
      </c>
      <c r="H224" s="56">
        <f>IF(A224="","",IFERROR(MINIFS('Turn Log'!$C$5:$C$5000,'Turn Log'!$B$5:$B$5000,A224,'Turn Log'!$Q$5:$Q$5000,"Pass"),""))</f>
        <v/>
      </c>
      <c r="I224" s="56">
        <f>IF(A224="","",IFERROR(MAXIFS('Turn Log'!$C$5:$C$5000,'Turn Log'!$B$5:$B$5000,A224),""))</f>
        <v/>
      </c>
      <c r="J224" s="56">
        <f>IF(A224="","",IFERROR(INDEX('Turn Log'!$Q$5:$Q$5000,MATCH(1,('Turn Log'!$B$5:$B$5000=A224)*('Turn Log'!$C$5:$C$5000=I224),0)),""))</f>
        <v/>
      </c>
      <c r="K224" s="56">
        <f>IF(A224="","",IFERROR(INDEX('Turn Log'!$R$5:$R$5000,MATCH(1,('Turn Log'!$B$5:$B$5000=A224)*('Turn Log'!$C$5:$C$5000=I224),0)),""))</f>
        <v/>
      </c>
      <c r="L224" s="56">
        <f>IF(A224="","",COUNTIFS('Turn Log'!$B$5:$B$5000,A224,'Turn Log'!$X$5:$X$5000,1))</f>
        <v/>
      </c>
      <c r="M224" s="56">
        <f>IF(A224="","",COUNTIFS('Turn Log'!$B$5:$B$5000,A224,'Turn Log'!$Y$5:$Y$5000,1))</f>
        <v/>
      </c>
      <c r="N224" s="56">
        <f>IF(A224="","",COUNTIFS('Turn Log'!$B$5:$B$5000,A224,'Turn Log'!$W$5:$W$5000,1))</f>
        <v/>
      </c>
      <c r="O224" s="56">
        <f>IF(H224="","No","Yes")</f>
        <v/>
      </c>
      <c r="P224" s="56">
        <f>IF(A224="","",COUNTIFS('Stability Checks'!$A$5:$A$2000,A224,'Stability Checks'!$C$5:$C$2000,"Re-execution",'Stability Checks'!$E$5:$E$2000,"Pass"))</f>
        <v/>
      </c>
      <c r="Q224" s="56">
        <f>IF(A224="","",COUNTIFS('Stability Checks'!$A$5:$A$2000,A224,'Stability Checks'!$C$5:$C$2000,"Re-prompt",'Stability Checks'!$E$5:$E$2000,"Pass"))</f>
        <v/>
      </c>
      <c r="R224" s="47">
        <f>IF(A224="","",'Run Plan'!Q224)</f>
        <v/>
      </c>
      <c r="S224" s="50" t="n"/>
    </row>
    <row r="225" ht="15.75" customHeight="1" s="40">
      <c r="A225" s="55">
        <f>IF('Run Plan'!A225="","",'Run Plan'!A225)</f>
        <v/>
      </c>
      <c r="B225" s="55">
        <f>IF(A225="","",'Run Plan'!C225)</f>
        <v/>
      </c>
      <c r="C225" s="55">
        <f>IF(A225="","",'Run Plan'!E225)</f>
        <v/>
      </c>
      <c r="D225" s="54">
        <f>IF(A225="","",'Run Plan'!G225)</f>
        <v/>
      </c>
      <c r="E225" s="47">
        <f>IF(A225="","",'Run Plan'!K225)</f>
        <v/>
      </c>
      <c r="F225" s="47">
        <f>IF(A225="","",'Run Plan'!J225)</f>
        <v/>
      </c>
      <c r="G225" s="56">
        <f>IF(A225="","",COUNTIF('Turn Log'!$B$5:$B$5000,A225))</f>
        <v/>
      </c>
      <c r="H225" s="56">
        <f>IF(A225="","",IFERROR(MINIFS('Turn Log'!$C$5:$C$5000,'Turn Log'!$B$5:$B$5000,A225,'Turn Log'!$Q$5:$Q$5000,"Pass"),""))</f>
        <v/>
      </c>
      <c r="I225" s="56">
        <f>IF(A225="","",IFERROR(MAXIFS('Turn Log'!$C$5:$C$5000,'Turn Log'!$B$5:$B$5000,A225),""))</f>
        <v/>
      </c>
      <c r="J225" s="56">
        <f>IF(A225="","",IFERROR(INDEX('Turn Log'!$Q$5:$Q$5000,MATCH(1,('Turn Log'!$B$5:$B$5000=A225)*('Turn Log'!$C$5:$C$5000=I225),0)),""))</f>
        <v/>
      </c>
      <c r="K225" s="56">
        <f>IF(A225="","",IFERROR(INDEX('Turn Log'!$R$5:$R$5000,MATCH(1,('Turn Log'!$B$5:$B$5000=A225)*('Turn Log'!$C$5:$C$5000=I225),0)),""))</f>
        <v/>
      </c>
      <c r="L225" s="56">
        <f>IF(A225="","",COUNTIFS('Turn Log'!$B$5:$B$5000,A225,'Turn Log'!$X$5:$X$5000,1))</f>
        <v/>
      </c>
      <c r="M225" s="56">
        <f>IF(A225="","",COUNTIFS('Turn Log'!$B$5:$B$5000,A225,'Turn Log'!$Y$5:$Y$5000,1))</f>
        <v/>
      </c>
      <c r="N225" s="56">
        <f>IF(A225="","",COUNTIFS('Turn Log'!$B$5:$B$5000,A225,'Turn Log'!$W$5:$W$5000,1))</f>
        <v/>
      </c>
      <c r="O225" s="56">
        <f>IF(H225="","No","Yes")</f>
        <v/>
      </c>
      <c r="P225" s="56">
        <f>IF(A225="","",COUNTIFS('Stability Checks'!$A$5:$A$2000,A225,'Stability Checks'!$C$5:$C$2000,"Re-execution",'Stability Checks'!$E$5:$E$2000,"Pass"))</f>
        <v/>
      </c>
      <c r="Q225" s="56">
        <f>IF(A225="","",COUNTIFS('Stability Checks'!$A$5:$A$2000,A225,'Stability Checks'!$C$5:$C$2000,"Re-prompt",'Stability Checks'!$E$5:$E$2000,"Pass"))</f>
        <v/>
      </c>
      <c r="R225" s="47">
        <f>IF(A225="","",'Run Plan'!Q225)</f>
        <v/>
      </c>
      <c r="S225" s="50" t="n"/>
    </row>
    <row r="226" ht="15.75" customHeight="1" s="40">
      <c r="A226" s="55">
        <f>IF('Run Plan'!A226="","",'Run Plan'!A226)</f>
        <v/>
      </c>
      <c r="B226" s="55">
        <f>IF(A226="","",'Run Plan'!C226)</f>
        <v/>
      </c>
      <c r="C226" s="55">
        <f>IF(A226="","",'Run Plan'!E226)</f>
        <v/>
      </c>
      <c r="D226" s="54">
        <f>IF(A226="","",'Run Plan'!G226)</f>
        <v/>
      </c>
      <c r="E226" s="47">
        <f>IF(A226="","",'Run Plan'!K226)</f>
        <v/>
      </c>
      <c r="F226" s="47">
        <f>IF(A226="","",'Run Plan'!J226)</f>
        <v/>
      </c>
      <c r="G226" s="56">
        <f>IF(A226="","",COUNTIF('Turn Log'!$B$5:$B$5000,A226))</f>
        <v/>
      </c>
      <c r="H226" s="56">
        <f>IF(A226="","",IFERROR(MINIFS('Turn Log'!$C$5:$C$5000,'Turn Log'!$B$5:$B$5000,A226,'Turn Log'!$Q$5:$Q$5000,"Pass"),""))</f>
        <v/>
      </c>
      <c r="I226" s="56">
        <f>IF(A226="","",IFERROR(MAXIFS('Turn Log'!$C$5:$C$5000,'Turn Log'!$B$5:$B$5000,A226),""))</f>
        <v/>
      </c>
      <c r="J226" s="56">
        <f>IF(A226="","",IFERROR(INDEX('Turn Log'!$Q$5:$Q$5000,MATCH(1,('Turn Log'!$B$5:$B$5000=A226)*('Turn Log'!$C$5:$C$5000=I226),0)),""))</f>
        <v/>
      </c>
      <c r="K226" s="56">
        <f>IF(A226="","",IFERROR(INDEX('Turn Log'!$R$5:$R$5000,MATCH(1,('Turn Log'!$B$5:$B$5000=A226)*('Turn Log'!$C$5:$C$5000=I226),0)),""))</f>
        <v/>
      </c>
      <c r="L226" s="56">
        <f>IF(A226="","",COUNTIFS('Turn Log'!$B$5:$B$5000,A226,'Turn Log'!$X$5:$X$5000,1))</f>
        <v/>
      </c>
      <c r="M226" s="56">
        <f>IF(A226="","",COUNTIFS('Turn Log'!$B$5:$B$5000,A226,'Turn Log'!$Y$5:$Y$5000,1))</f>
        <v/>
      </c>
      <c r="N226" s="56">
        <f>IF(A226="","",COUNTIFS('Turn Log'!$B$5:$B$5000,A226,'Turn Log'!$W$5:$W$5000,1))</f>
        <v/>
      </c>
      <c r="O226" s="56">
        <f>IF(H226="","No","Yes")</f>
        <v/>
      </c>
      <c r="P226" s="56">
        <f>IF(A226="","",COUNTIFS('Stability Checks'!$A$5:$A$2000,A226,'Stability Checks'!$C$5:$C$2000,"Re-execution",'Stability Checks'!$E$5:$E$2000,"Pass"))</f>
        <v/>
      </c>
      <c r="Q226" s="56">
        <f>IF(A226="","",COUNTIFS('Stability Checks'!$A$5:$A$2000,A226,'Stability Checks'!$C$5:$C$2000,"Re-prompt",'Stability Checks'!$E$5:$E$2000,"Pass"))</f>
        <v/>
      </c>
      <c r="R226" s="47">
        <f>IF(A226="","",'Run Plan'!Q226)</f>
        <v/>
      </c>
      <c r="S226" s="50" t="n"/>
    </row>
    <row r="227" ht="15.75" customHeight="1" s="40">
      <c r="A227" s="55">
        <f>IF('Run Plan'!A227="","",'Run Plan'!A227)</f>
        <v/>
      </c>
      <c r="B227" s="55">
        <f>IF(A227="","",'Run Plan'!C227)</f>
        <v/>
      </c>
      <c r="C227" s="55">
        <f>IF(A227="","",'Run Plan'!E227)</f>
        <v/>
      </c>
      <c r="D227" s="54">
        <f>IF(A227="","",'Run Plan'!G227)</f>
        <v/>
      </c>
      <c r="E227" s="47">
        <f>IF(A227="","",'Run Plan'!K227)</f>
        <v/>
      </c>
      <c r="F227" s="47">
        <f>IF(A227="","",'Run Plan'!J227)</f>
        <v/>
      </c>
      <c r="G227" s="56">
        <f>IF(A227="","",COUNTIF('Turn Log'!$B$5:$B$5000,A227))</f>
        <v/>
      </c>
      <c r="H227" s="56">
        <f>IF(A227="","",IFERROR(MINIFS('Turn Log'!$C$5:$C$5000,'Turn Log'!$B$5:$B$5000,A227,'Turn Log'!$Q$5:$Q$5000,"Pass"),""))</f>
        <v/>
      </c>
      <c r="I227" s="56">
        <f>IF(A227="","",IFERROR(MAXIFS('Turn Log'!$C$5:$C$5000,'Turn Log'!$B$5:$B$5000,A227),""))</f>
        <v/>
      </c>
      <c r="J227" s="56">
        <f>IF(A227="","",IFERROR(INDEX('Turn Log'!$Q$5:$Q$5000,MATCH(1,('Turn Log'!$B$5:$B$5000=A227)*('Turn Log'!$C$5:$C$5000=I227),0)),""))</f>
        <v/>
      </c>
      <c r="K227" s="56">
        <f>IF(A227="","",IFERROR(INDEX('Turn Log'!$R$5:$R$5000,MATCH(1,('Turn Log'!$B$5:$B$5000=A227)*('Turn Log'!$C$5:$C$5000=I227),0)),""))</f>
        <v/>
      </c>
      <c r="L227" s="56">
        <f>IF(A227="","",COUNTIFS('Turn Log'!$B$5:$B$5000,A227,'Turn Log'!$X$5:$X$5000,1))</f>
        <v/>
      </c>
      <c r="M227" s="56">
        <f>IF(A227="","",COUNTIFS('Turn Log'!$B$5:$B$5000,A227,'Turn Log'!$Y$5:$Y$5000,1))</f>
        <v/>
      </c>
      <c r="N227" s="56">
        <f>IF(A227="","",COUNTIFS('Turn Log'!$B$5:$B$5000,A227,'Turn Log'!$W$5:$W$5000,1))</f>
        <v/>
      </c>
      <c r="O227" s="56">
        <f>IF(H227="","No","Yes")</f>
        <v/>
      </c>
      <c r="P227" s="56">
        <f>IF(A227="","",COUNTIFS('Stability Checks'!$A$5:$A$2000,A227,'Stability Checks'!$C$5:$C$2000,"Re-execution",'Stability Checks'!$E$5:$E$2000,"Pass"))</f>
        <v/>
      </c>
      <c r="Q227" s="56">
        <f>IF(A227="","",COUNTIFS('Stability Checks'!$A$5:$A$2000,A227,'Stability Checks'!$C$5:$C$2000,"Re-prompt",'Stability Checks'!$E$5:$E$2000,"Pass"))</f>
        <v/>
      </c>
      <c r="R227" s="47">
        <f>IF(A227="","",'Run Plan'!Q227)</f>
        <v/>
      </c>
      <c r="S227" s="50" t="n"/>
    </row>
    <row r="228" ht="15.75" customHeight="1" s="40">
      <c r="A228" s="55">
        <f>IF('Run Plan'!A228="","",'Run Plan'!A228)</f>
        <v/>
      </c>
      <c r="B228" s="55">
        <f>IF(A228="","",'Run Plan'!C228)</f>
        <v/>
      </c>
      <c r="C228" s="55">
        <f>IF(A228="","",'Run Plan'!E228)</f>
        <v/>
      </c>
      <c r="D228" s="54">
        <f>IF(A228="","",'Run Plan'!G228)</f>
        <v/>
      </c>
      <c r="E228" s="47">
        <f>IF(A228="","",'Run Plan'!K228)</f>
        <v/>
      </c>
      <c r="F228" s="47">
        <f>IF(A228="","",'Run Plan'!J228)</f>
        <v/>
      </c>
      <c r="G228" s="56">
        <f>IF(A228="","",COUNTIF('Turn Log'!$B$5:$B$5000,A228))</f>
        <v/>
      </c>
      <c r="H228" s="56">
        <f>IF(A228="","",IFERROR(MINIFS('Turn Log'!$C$5:$C$5000,'Turn Log'!$B$5:$B$5000,A228,'Turn Log'!$Q$5:$Q$5000,"Pass"),""))</f>
        <v/>
      </c>
      <c r="I228" s="56">
        <f>IF(A228="","",IFERROR(MAXIFS('Turn Log'!$C$5:$C$5000,'Turn Log'!$B$5:$B$5000,A228),""))</f>
        <v/>
      </c>
      <c r="J228" s="56">
        <f>IF(A228="","",IFERROR(INDEX('Turn Log'!$Q$5:$Q$5000,MATCH(1,('Turn Log'!$B$5:$B$5000=A228)*('Turn Log'!$C$5:$C$5000=I228),0)),""))</f>
        <v/>
      </c>
      <c r="K228" s="56">
        <f>IF(A228="","",IFERROR(INDEX('Turn Log'!$R$5:$R$5000,MATCH(1,('Turn Log'!$B$5:$B$5000=A228)*('Turn Log'!$C$5:$C$5000=I228),0)),""))</f>
        <v/>
      </c>
      <c r="L228" s="56">
        <f>IF(A228="","",COUNTIFS('Turn Log'!$B$5:$B$5000,A228,'Turn Log'!$X$5:$X$5000,1))</f>
        <v/>
      </c>
      <c r="M228" s="56">
        <f>IF(A228="","",COUNTIFS('Turn Log'!$B$5:$B$5000,A228,'Turn Log'!$Y$5:$Y$5000,1))</f>
        <v/>
      </c>
      <c r="N228" s="56">
        <f>IF(A228="","",COUNTIFS('Turn Log'!$B$5:$B$5000,A228,'Turn Log'!$W$5:$W$5000,1))</f>
        <v/>
      </c>
      <c r="O228" s="56">
        <f>IF(H228="","No","Yes")</f>
        <v/>
      </c>
      <c r="P228" s="56">
        <f>IF(A228="","",COUNTIFS('Stability Checks'!$A$5:$A$2000,A228,'Stability Checks'!$C$5:$C$2000,"Re-execution",'Stability Checks'!$E$5:$E$2000,"Pass"))</f>
        <v/>
      </c>
      <c r="Q228" s="56">
        <f>IF(A228="","",COUNTIFS('Stability Checks'!$A$5:$A$2000,A228,'Stability Checks'!$C$5:$C$2000,"Re-prompt",'Stability Checks'!$E$5:$E$2000,"Pass"))</f>
        <v/>
      </c>
      <c r="R228" s="47">
        <f>IF(A228="","",'Run Plan'!Q228)</f>
        <v/>
      </c>
      <c r="S228" s="50" t="n"/>
    </row>
    <row r="229" ht="15.75" customHeight="1" s="40">
      <c r="A229" s="55">
        <f>IF('Run Plan'!A229="","",'Run Plan'!A229)</f>
        <v/>
      </c>
      <c r="B229" s="55">
        <f>IF(A229="","",'Run Plan'!C229)</f>
        <v/>
      </c>
      <c r="C229" s="55">
        <f>IF(A229="","",'Run Plan'!E229)</f>
        <v/>
      </c>
      <c r="D229" s="54">
        <f>IF(A229="","",'Run Plan'!G229)</f>
        <v/>
      </c>
      <c r="E229" s="47">
        <f>IF(A229="","",'Run Plan'!K229)</f>
        <v/>
      </c>
      <c r="F229" s="47">
        <f>IF(A229="","",'Run Plan'!J229)</f>
        <v/>
      </c>
      <c r="G229" s="56">
        <f>IF(A229="","",COUNTIF('Turn Log'!$B$5:$B$5000,A229))</f>
        <v/>
      </c>
      <c r="H229" s="56">
        <f>IF(A229="","",IFERROR(MINIFS('Turn Log'!$C$5:$C$5000,'Turn Log'!$B$5:$B$5000,A229,'Turn Log'!$Q$5:$Q$5000,"Pass"),""))</f>
        <v/>
      </c>
      <c r="I229" s="56">
        <f>IF(A229="","",IFERROR(MAXIFS('Turn Log'!$C$5:$C$5000,'Turn Log'!$B$5:$B$5000,A229),""))</f>
        <v/>
      </c>
      <c r="J229" s="56">
        <f>IF(A229="","",IFERROR(INDEX('Turn Log'!$Q$5:$Q$5000,MATCH(1,('Turn Log'!$B$5:$B$5000=A229)*('Turn Log'!$C$5:$C$5000=I229),0)),""))</f>
        <v/>
      </c>
      <c r="K229" s="56">
        <f>IF(A229="","",IFERROR(INDEX('Turn Log'!$R$5:$R$5000,MATCH(1,('Turn Log'!$B$5:$B$5000=A229)*('Turn Log'!$C$5:$C$5000=I229),0)),""))</f>
        <v/>
      </c>
      <c r="L229" s="56">
        <f>IF(A229="","",COUNTIFS('Turn Log'!$B$5:$B$5000,A229,'Turn Log'!$X$5:$X$5000,1))</f>
        <v/>
      </c>
      <c r="M229" s="56">
        <f>IF(A229="","",COUNTIFS('Turn Log'!$B$5:$B$5000,A229,'Turn Log'!$Y$5:$Y$5000,1))</f>
        <v/>
      </c>
      <c r="N229" s="56">
        <f>IF(A229="","",COUNTIFS('Turn Log'!$B$5:$B$5000,A229,'Turn Log'!$W$5:$W$5000,1))</f>
        <v/>
      </c>
      <c r="O229" s="56">
        <f>IF(H229="","No","Yes")</f>
        <v/>
      </c>
      <c r="P229" s="56">
        <f>IF(A229="","",COUNTIFS('Stability Checks'!$A$5:$A$2000,A229,'Stability Checks'!$C$5:$C$2000,"Re-execution",'Stability Checks'!$E$5:$E$2000,"Pass"))</f>
        <v/>
      </c>
      <c r="Q229" s="56">
        <f>IF(A229="","",COUNTIFS('Stability Checks'!$A$5:$A$2000,A229,'Stability Checks'!$C$5:$C$2000,"Re-prompt",'Stability Checks'!$E$5:$E$2000,"Pass"))</f>
        <v/>
      </c>
      <c r="R229" s="47">
        <f>IF(A229="","",'Run Plan'!Q229)</f>
        <v/>
      </c>
      <c r="S229" s="50" t="n"/>
    </row>
    <row r="230" ht="15.75" customHeight="1" s="40">
      <c r="A230" s="55">
        <f>IF('Run Plan'!A230="","",'Run Plan'!A230)</f>
        <v/>
      </c>
      <c r="B230" s="55">
        <f>IF(A230="","",'Run Plan'!C230)</f>
        <v/>
      </c>
      <c r="C230" s="55">
        <f>IF(A230="","",'Run Plan'!E230)</f>
        <v/>
      </c>
      <c r="D230" s="54">
        <f>IF(A230="","",'Run Plan'!G230)</f>
        <v/>
      </c>
      <c r="E230" s="47">
        <f>IF(A230="","",'Run Plan'!K230)</f>
        <v/>
      </c>
      <c r="F230" s="47">
        <f>IF(A230="","",'Run Plan'!J230)</f>
        <v/>
      </c>
      <c r="G230" s="56">
        <f>IF(A230="","",COUNTIF('Turn Log'!$B$5:$B$5000,A230))</f>
        <v/>
      </c>
      <c r="H230" s="56">
        <f>IF(A230="","",IFERROR(MINIFS('Turn Log'!$C$5:$C$5000,'Turn Log'!$B$5:$B$5000,A230,'Turn Log'!$Q$5:$Q$5000,"Pass"),""))</f>
        <v/>
      </c>
      <c r="I230" s="56">
        <f>IF(A230="","",IFERROR(MAXIFS('Turn Log'!$C$5:$C$5000,'Turn Log'!$B$5:$B$5000,A230),""))</f>
        <v/>
      </c>
      <c r="J230" s="56">
        <f>IF(A230="","",IFERROR(INDEX('Turn Log'!$Q$5:$Q$5000,MATCH(1,('Turn Log'!$B$5:$B$5000=A230)*('Turn Log'!$C$5:$C$5000=I230),0)),""))</f>
        <v/>
      </c>
      <c r="K230" s="56">
        <f>IF(A230="","",IFERROR(INDEX('Turn Log'!$R$5:$R$5000,MATCH(1,('Turn Log'!$B$5:$B$5000=A230)*('Turn Log'!$C$5:$C$5000=I230),0)),""))</f>
        <v/>
      </c>
      <c r="L230" s="56">
        <f>IF(A230="","",COUNTIFS('Turn Log'!$B$5:$B$5000,A230,'Turn Log'!$X$5:$X$5000,1))</f>
        <v/>
      </c>
      <c r="M230" s="56">
        <f>IF(A230="","",COUNTIFS('Turn Log'!$B$5:$B$5000,A230,'Turn Log'!$Y$5:$Y$5000,1))</f>
        <v/>
      </c>
      <c r="N230" s="56">
        <f>IF(A230="","",COUNTIFS('Turn Log'!$B$5:$B$5000,A230,'Turn Log'!$W$5:$W$5000,1))</f>
        <v/>
      </c>
      <c r="O230" s="56">
        <f>IF(H230="","No","Yes")</f>
        <v/>
      </c>
      <c r="P230" s="56">
        <f>IF(A230="","",COUNTIFS('Stability Checks'!$A$5:$A$2000,A230,'Stability Checks'!$C$5:$C$2000,"Re-execution",'Stability Checks'!$E$5:$E$2000,"Pass"))</f>
        <v/>
      </c>
      <c r="Q230" s="56">
        <f>IF(A230="","",COUNTIFS('Stability Checks'!$A$5:$A$2000,A230,'Stability Checks'!$C$5:$C$2000,"Re-prompt",'Stability Checks'!$E$5:$E$2000,"Pass"))</f>
        <v/>
      </c>
      <c r="R230" s="47">
        <f>IF(A230="","",'Run Plan'!Q230)</f>
        <v/>
      </c>
      <c r="S230" s="50" t="n"/>
    </row>
    <row r="231" ht="15.75" customHeight="1" s="40">
      <c r="A231" s="55">
        <f>IF('Run Plan'!A231="","",'Run Plan'!A231)</f>
        <v/>
      </c>
      <c r="B231" s="55">
        <f>IF(A231="","",'Run Plan'!C231)</f>
        <v/>
      </c>
      <c r="C231" s="55">
        <f>IF(A231="","",'Run Plan'!E231)</f>
        <v/>
      </c>
      <c r="D231" s="54">
        <f>IF(A231="","",'Run Plan'!G231)</f>
        <v/>
      </c>
      <c r="E231" s="47">
        <f>IF(A231="","",'Run Plan'!K231)</f>
        <v/>
      </c>
      <c r="F231" s="47">
        <f>IF(A231="","",'Run Plan'!J231)</f>
        <v/>
      </c>
      <c r="G231" s="56">
        <f>IF(A231="","",COUNTIF('Turn Log'!$B$5:$B$5000,A231))</f>
        <v/>
      </c>
      <c r="H231" s="56">
        <f>IF(A231="","",IFERROR(MINIFS('Turn Log'!$C$5:$C$5000,'Turn Log'!$B$5:$B$5000,A231,'Turn Log'!$Q$5:$Q$5000,"Pass"),""))</f>
        <v/>
      </c>
      <c r="I231" s="56">
        <f>IF(A231="","",IFERROR(MAXIFS('Turn Log'!$C$5:$C$5000,'Turn Log'!$B$5:$B$5000,A231),""))</f>
        <v/>
      </c>
      <c r="J231" s="56">
        <f>IF(A231="","",IFERROR(INDEX('Turn Log'!$Q$5:$Q$5000,MATCH(1,('Turn Log'!$B$5:$B$5000=A231)*('Turn Log'!$C$5:$C$5000=I231),0)),""))</f>
        <v/>
      </c>
      <c r="K231" s="56">
        <f>IF(A231="","",IFERROR(INDEX('Turn Log'!$R$5:$R$5000,MATCH(1,('Turn Log'!$B$5:$B$5000=A231)*('Turn Log'!$C$5:$C$5000=I231),0)),""))</f>
        <v/>
      </c>
      <c r="L231" s="56">
        <f>IF(A231="","",COUNTIFS('Turn Log'!$B$5:$B$5000,A231,'Turn Log'!$X$5:$X$5000,1))</f>
        <v/>
      </c>
      <c r="M231" s="56">
        <f>IF(A231="","",COUNTIFS('Turn Log'!$B$5:$B$5000,A231,'Turn Log'!$Y$5:$Y$5000,1))</f>
        <v/>
      </c>
      <c r="N231" s="56">
        <f>IF(A231="","",COUNTIFS('Turn Log'!$B$5:$B$5000,A231,'Turn Log'!$W$5:$W$5000,1))</f>
        <v/>
      </c>
      <c r="O231" s="56">
        <f>IF(H231="","No","Yes")</f>
        <v/>
      </c>
      <c r="P231" s="56">
        <f>IF(A231="","",COUNTIFS('Stability Checks'!$A$5:$A$2000,A231,'Stability Checks'!$C$5:$C$2000,"Re-execution",'Stability Checks'!$E$5:$E$2000,"Pass"))</f>
        <v/>
      </c>
      <c r="Q231" s="56">
        <f>IF(A231="","",COUNTIFS('Stability Checks'!$A$5:$A$2000,A231,'Stability Checks'!$C$5:$C$2000,"Re-prompt",'Stability Checks'!$E$5:$E$2000,"Pass"))</f>
        <v/>
      </c>
      <c r="R231" s="47">
        <f>IF(A231="","",'Run Plan'!Q231)</f>
        <v/>
      </c>
      <c r="S231" s="50" t="n"/>
    </row>
    <row r="232" ht="15.75" customHeight="1" s="40">
      <c r="A232" s="55">
        <f>IF('Run Plan'!A232="","",'Run Plan'!A232)</f>
        <v/>
      </c>
      <c r="B232" s="55">
        <f>IF(A232="","",'Run Plan'!C232)</f>
        <v/>
      </c>
      <c r="C232" s="55">
        <f>IF(A232="","",'Run Plan'!E232)</f>
        <v/>
      </c>
      <c r="D232" s="54">
        <f>IF(A232="","",'Run Plan'!G232)</f>
        <v/>
      </c>
      <c r="E232" s="47">
        <f>IF(A232="","",'Run Plan'!K232)</f>
        <v/>
      </c>
      <c r="F232" s="47">
        <f>IF(A232="","",'Run Plan'!J232)</f>
        <v/>
      </c>
      <c r="G232" s="56">
        <f>IF(A232="","",COUNTIF('Turn Log'!$B$5:$B$5000,A232))</f>
        <v/>
      </c>
      <c r="H232" s="56">
        <f>IF(A232="","",IFERROR(MINIFS('Turn Log'!$C$5:$C$5000,'Turn Log'!$B$5:$B$5000,A232,'Turn Log'!$Q$5:$Q$5000,"Pass"),""))</f>
        <v/>
      </c>
      <c r="I232" s="56">
        <f>IF(A232="","",IFERROR(MAXIFS('Turn Log'!$C$5:$C$5000,'Turn Log'!$B$5:$B$5000,A232),""))</f>
        <v/>
      </c>
      <c r="J232" s="56">
        <f>IF(A232="","",IFERROR(INDEX('Turn Log'!$Q$5:$Q$5000,MATCH(1,('Turn Log'!$B$5:$B$5000=A232)*('Turn Log'!$C$5:$C$5000=I232),0)),""))</f>
        <v/>
      </c>
      <c r="K232" s="56">
        <f>IF(A232="","",IFERROR(INDEX('Turn Log'!$R$5:$R$5000,MATCH(1,('Turn Log'!$B$5:$B$5000=A232)*('Turn Log'!$C$5:$C$5000=I232),0)),""))</f>
        <v/>
      </c>
      <c r="L232" s="56">
        <f>IF(A232="","",COUNTIFS('Turn Log'!$B$5:$B$5000,A232,'Turn Log'!$X$5:$X$5000,1))</f>
        <v/>
      </c>
      <c r="M232" s="56">
        <f>IF(A232="","",COUNTIFS('Turn Log'!$B$5:$B$5000,A232,'Turn Log'!$Y$5:$Y$5000,1))</f>
        <v/>
      </c>
      <c r="N232" s="56">
        <f>IF(A232="","",COUNTIFS('Turn Log'!$B$5:$B$5000,A232,'Turn Log'!$W$5:$W$5000,1))</f>
        <v/>
      </c>
      <c r="O232" s="56">
        <f>IF(H232="","No","Yes")</f>
        <v/>
      </c>
      <c r="P232" s="56">
        <f>IF(A232="","",COUNTIFS('Stability Checks'!$A$5:$A$2000,A232,'Stability Checks'!$C$5:$C$2000,"Re-execution",'Stability Checks'!$E$5:$E$2000,"Pass"))</f>
        <v/>
      </c>
      <c r="Q232" s="56">
        <f>IF(A232="","",COUNTIFS('Stability Checks'!$A$5:$A$2000,A232,'Stability Checks'!$C$5:$C$2000,"Re-prompt",'Stability Checks'!$E$5:$E$2000,"Pass"))</f>
        <v/>
      </c>
      <c r="R232" s="47">
        <f>IF(A232="","",'Run Plan'!Q232)</f>
        <v/>
      </c>
      <c r="S232" s="50" t="n"/>
    </row>
    <row r="233" ht="15.75" customHeight="1" s="40">
      <c r="A233" s="55">
        <f>IF('Run Plan'!A233="","",'Run Plan'!A233)</f>
        <v/>
      </c>
      <c r="B233" s="55">
        <f>IF(A233="","",'Run Plan'!C233)</f>
        <v/>
      </c>
      <c r="C233" s="55">
        <f>IF(A233="","",'Run Plan'!E233)</f>
        <v/>
      </c>
      <c r="D233" s="54">
        <f>IF(A233="","",'Run Plan'!G233)</f>
        <v/>
      </c>
      <c r="E233" s="47">
        <f>IF(A233="","",'Run Plan'!K233)</f>
        <v/>
      </c>
      <c r="F233" s="47">
        <f>IF(A233="","",'Run Plan'!J233)</f>
        <v/>
      </c>
      <c r="G233" s="56">
        <f>IF(A233="","",COUNTIF('Turn Log'!$B$5:$B$5000,A233))</f>
        <v/>
      </c>
      <c r="H233" s="56">
        <f>IF(A233="","",IFERROR(MINIFS('Turn Log'!$C$5:$C$5000,'Turn Log'!$B$5:$B$5000,A233,'Turn Log'!$Q$5:$Q$5000,"Pass"),""))</f>
        <v/>
      </c>
      <c r="I233" s="56">
        <f>IF(A233="","",IFERROR(MAXIFS('Turn Log'!$C$5:$C$5000,'Turn Log'!$B$5:$B$5000,A233),""))</f>
        <v/>
      </c>
      <c r="J233" s="56">
        <f>IF(A233="","",IFERROR(INDEX('Turn Log'!$Q$5:$Q$5000,MATCH(1,('Turn Log'!$B$5:$B$5000=A233)*('Turn Log'!$C$5:$C$5000=I233),0)),""))</f>
        <v/>
      </c>
      <c r="K233" s="56">
        <f>IF(A233="","",IFERROR(INDEX('Turn Log'!$R$5:$R$5000,MATCH(1,('Turn Log'!$B$5:$B$5000=A233)*('Turn Log'!$C$5:$C$5000=I233),0)),""))</f>
        <v/>
      </c>
      <c r="L233" s="56">
        <f>IF(A233="","",COUNTIFS('Turn Log'!$B$5:$B$5000,A233,'Turn Log'!$X$5:$X$5000,1))</f>
        <v/>
      </c>
      <c r="M233" s="56">
        <f>IF(A233="","",COUNTIFS('Turn Log'!$B$5:$B$5000,A233,'Turn Log'!$Y$5:$Y$5000,1))</f>
        <v/>
      </c>
      <c r="N233" s="56">
        <f>IF(A233="","",COUNTIFS('Turn Log'!$B$5:$B$5000,A233,'Turn Log'!$W$5:$W$5000,1))</f>
        <v/>
      </c>
      <c r="O233" s="56">
        <f>IF(H233="","No","Yes")</f>
        <v/>
      </c>
      <c r="P233" s="56">
        <f>IF(A233="","",COUNTIFS('Stability Checks'!$A$5:$A$2000,A233,'Stability Checks'!$C$5:$C$2000,"Re-execution",'Stability Checks'!$E$5:$E$2000,"Pass"))</f>
        <v/>
      </c>
      <c r="Q233" s="56">
        <f>IF(A233="","",COUNTIFS('Stability Checks'!$A$5:$A$2000,A233,'Stability Checks'!$C$5:$C$2000,"Re-prompt",'Stability Checks'!$E$5:$E$2000,"Pass"))</f>
        <v/>
      </c>
      <c r="R233" s="47">
        <f>IF(A233="","",'Run Plan'!Q233)</f>
        <v/>
      </c>
      <c r="S233" s="50" t="n"/>
    </row>
    <row r="234" ht="15.75" customHeight="1" s="40">
      <c r="A234" s="55">
        <f>IF('Run Plan'!A234="","",'Run Plan'!A234)</f>
        <v/>
      </c>
      <c r="B234" s="55">
        <f>IF(A234="","",'Run Plan'!C234)</f>
        <v/>
      </c>
      <c r="C234" s="55">
        <f>IF(A234="","",'Run Plan'!E234)</f>
        <v/>
      </c>
      <c r="D234" s="54">
        <f>IF(A234="","",'Run Plan'!G234)</f>
        <v/>
      </c>
      <c r="E234" s="47">
        <f>IF(A234="","",'Run Plan'!K234)</f>
        <v/>
      </c>
      <c r="F234" s="47">
        <f>IF(A234="","",'Run Plan'!J234)</f>
        <v/>
      </c>
      <c r="G234" s="56">
        <f>IF(A234="","",COUNTIF('Turn Log'!$B$5:$B$5000,A234))</f>
        <v/>
      </c>
      <c r="H234" s="56">
        <f>IF(A234="","",IFERROR(MINIFS('Turn Log'!$C$5:$C$5000,'Turn Log'!$B$5:$B$5000,A234,'Turn Log'!$Q$5:$Q$5000,"Pass"),""))</f>
        <v/>
      </c>
      <c r="I234" s="56">
        <f>IF(A234="","",IFERROR(MAXIFS('Turn Log'!$C$5:$C$5000,'Turn Log'!$B$5:$B$5000,A234),""))</f>
        <v/>
      </c>
      <c r="J234" s="56">
        <f>IF(A234="","",IFERROR(INDEX('Turn Log'!$Q$5:$Q$5000,MATCH(1,('Turn Log'!$B$5:$B$5000=A234)*('Turn Log'!$C$5:$C$5000=I234),0)),""))</f>
        <v/>
      </c>
      <c r="K234" s="56">
        <f>IF(A234="","",IFERROR(INDEX('Turn Log'!$R$5:$R$5000,MATCH(1,('Turn Log'!$B$5:$B$5000=A234)*('Turn Log'!$C$5:$C$5000=I234),0)),""))</f>
        <v/>
      </c>
      <c r="L234" s="56">
        <f>IF(A234="","",COUNTIFS('Turn Log'!$B$5:$B$5000,A234,'Turn Log'!$X$5:$X$5000,1))</f>
        <v/>
      </c>
      <c r="M234" s="56">
        <f>IF(A234="","",COUNTIFS('Turn Log'!$B$5:$B$5000,A234,'Turn Log'!$Y$5:$Y$5000,1))</f>
        <v/>
      </c>
      <c r="N234" s="56">
        <f>IF(A234="","",COUNTIFS('Turn Log'!$B$5:$B$5000,A234,'Turn Log'!$W$5:$W$5000,1))</f>
        <v/>
      </c>
      <c r="O234" s="56">
        <f>IF(H234="","No","Yes")</f>
        <v/>
      </c>
      <c r="P234" s="56">
        <f>IF(A234="","",COUNTIFS('Stability Checks'!$A$5:$A$2000,A234,'Stability Checks'!$C$5:$C$2000,"Re-execution",'Stability Checks'!$E$5:$E$2000,"Pass"))</f>
        <v/>
      </c>
      <c r="Q234" s="56">
        <f>IF(A234="","",COUNTIFS('Stability Checks'!$A$5:$A$2000,A234,'Stability Checks'!$C$5:$C$2000,"Re-prompt",'Stability Checks'!$E$5:$E$2000,"Pass"))</f>
        <v/>
      </c>
      <c r="R234" s="47">
        <f>IF(A234="","",'Run Plan'!Q234)</f>
        <v/>
      </c>
      <c r="S234" s="50" t="n"/>
    </row>
    <row r="235" ht="15.75" customHeight="1" s="40">
      <c r="A235" s="55">
        <f>IF('Run Plan'!A235="","",'Run Plan'!A235)</f>
        <v/>
      </c>
      <c r="B235" s="55">
        <f>IF(A235="","",'Run Plan'!C235)</f>
        <v/>
      </c>
      <c r="C235" s="55">
        <f>IF(A235="","",'Run Plan'!E235)</f>
        <v/>
      </c>
      <c r="D235" s="54">
        <f>IF(A235="","",'Run Plan'!G235)</f>
        <v/>
      </c>
      <c r="E235" s="47">
        <f>IF(A235="","",'Run Plan'!K235)</f>
        <v/>
      </c>
      <c r="F235" s="47">
        <f>IF(A235="","",'Run Plan'!J235)</f>
        <v/>
      </c>
      <c r="G235" s="56">
        <f>IF(A235="","",COUNTIF('Turn Log'!$B$5:$B$5000,A235))</f>
        <v/>
      </c>
      <c r="H235" s="56">
        <f>IF(A235="","",IFERROR(MINIFS('Turn Log'!$C$5:$C$5000,'Turn Log'!$B$5:$B$5000,A235,'Turn Log'!$Q$5:$Q$5000,"Pass"),""))</f>
        <v/>
      </c>
      <c r="I235" s="56">
        <f>IF(A235="","",IFERROR(MAXIFS('Turn Log'!$C$5:$C$5000,'Turn Log'!$B$5:$B$5000,A235),""))</f>
        <v/>
      </c>
      <c r="J235" s="56">
        <f>IF(A235="","",IFERROR(INDEX('Turn Log'!$Q$5:$Q$5000,MATCH(1,('Turn Log'!$B$5:$B$5000=A235)*('Turn Log'!$C$5:$C$5000=I235),0)),""))</f>
        <v/>
      </c>
      <c r="K235" s="56">
        <f>IF(A235="","",IFERROR(INDEX('Turn Log'!$R$5:$R$5000,MATCH(1,('Turn Log'!$B$5:$B$5000=A235)*('Turn Log'!$C$5:$C$5000=I235),0)),""))</f>
        <v/>
      </c>
      <c r="L235" s="56">
        <f>IF(A235="","",COUNTIFS('Turn Log'!$B$5:$B$5000,A235,'Turn Log'!$X$5:$X$5000,1))</f>
        <v/>
      </c>
      <c r="M235" s="56">
        <f>IF(A235="","",COUNTIFS('Turn Log'!$B$5:$B$5000,A235,'Turn Log'!$Y$5:$Y$5000,1))</f>
        <v/>
      </c>
      <c r="N235" s="56">
        <f>IF(A235="","",COUNTIFS('Turn Log'!$B$5:$B$5000,A235,'Turn Log'!$W$5:$W$5000,1))</f>
        <v/>
      </c>
      <c r="O235" s="56">
        <f>IF(H235="","No","Yes")</f>
        <v/>
      </c>
      <c r="P235" s="56">
        <f>IF(A235="","",COUNTIFS('Stability Checks'!$A$5:$A$2000,A235,'Stability Checks'!$C$5:$C$2000,"Re-execution",'Stability Checks'!$E$5:$E$2000,"Pass"))</f>
        <v/>
      </c>
      <c r="Q235" s="56">
        <f>IF(A235="","",COUNTIFS('Stability Checks'!$A$5:$A$2000,A235,'Stability Checks'!$C$5:$C$2000,"Re-prompt",'Stability Checks'!$E$5:$E$2000,"Pass"))</f>
        <v/>
      </c>
      <c r="R235" s="47">
        <f>IF(A235="","",'Run Plan'!Q235)</f>
        <v/>
      </c>
      <c r="S235" s="50" t="n"/>
    </row>
    <row r="236" ht="15.75" customHeight="1" s="40">
      <c r="A236" s="55">
        <f>IF('Run Plan'!A236="","",'Run Plan'!A236)</f>
        <v/>
      </c>
      <c r="B236" s="55">
        <f>IF(A236="","",'Run Plan'!C236)</f>
        <v/>
      </c>
      <c r="C236" s="55">
        <f>IF(A236="","",'Run Plan'!E236)</f>
        <v/>
      </c>
      <c r="D236" s="54">
        <f>IF(A236="","",'Run Plan'!G236)</f>
        <v/>
      </c>
      <c r="E236" s="47">
        <f>IF(A236="","",'Run Plan'!K236)</f>
        <v/>
      </c>
      <c r="F236" s="47">
        <f>IF(A236="","",'Run Plan'!J236)</f>
        <v/>
      </c>
      <c r="G236" s="56">
        <f>IF(A236="","",COUNTIF('Turn Log'!$B$5:$B$5000,A236))</f>
        <v/>
      </c>
      <c r="H236" s="56">
        <f>IF(A236="","",IFERROR(MINIFS('Turn Log'!$C$5:$C$5000,'Turn Log'!$B$5:$B$5000,A236,'Turn Log'!$Q$5:$Q$5000,"Pass"),""))</f>
        <v/>
      </c>
      <c r="I236" s="56">
        <f>IF(A236="","",IFERROR(MAXIFS('Turn Log'!$C$5:$C$5000,'Turn Log'!$B$5:$B$5000,A236),""))</f>
        <v/>
      </c>
      <c r="J236" s="56">
        <f>IF(A236="","",IFERROR(INDEX('Turn Log'!$Q$5:$Q$5000,MATCH(1,('Turn Log'!$B$5:$B$5000=A236)*('Turn Log'!$C$5:$C$5000=I236),0)),""))</f>
        <v/>
      </c>
      <c r="K236" s="56">
        <f>IF(A236="","",IFERROR(INDEX('Turn Log'!$R$5:$R$5000,MATCH(1,('Turn Log'!$B$5:$B$5000=A236)*('Turn Log'!$C$5:$C$5000=I236),0)),""))</f>
        <v/>
      </c>
      <c r="L236" s="56">
        <f>IF(A236="","",COUNTIFS('Turn Log'!$B$5:$B$5000,A236,'Turn Log'!$X$5:$X$5000,1))</f>
        <v/>
      </c>
      <c r="M236" s="56">
        <f>IF(A236="","",COUNTIFS('Turn Log'!$B$5:$B$5000,A236,'Turn Log'!$Y$5:$Y$5000,1))</f>
        <v/>
      </c>
      <c r="N236" s="56">
        <f>IF(A236="","",COUNTIFS('Turn Log'!$B$5:$B$5000,A236,'Turn Log'!$W$5:$W$5000,1))</f>
        <v/>
      </c>
      <c r="O236" s="56">
        <f>IF(H236="","No","Yes")</f>
        <v/>
      </c>
      <c r="P236" s="56">
        <f>IF(A236="","",COUNTIFS('Stability Checks'!$A$5:$A$2000,A236,'Stability Checks'!$C$5:$C$2000,"Re-execution",'Stability Checks'!$E$5:$E$2000,"Pass"))</f>
        <v/>
      </c>
      <c r="Q236" s="56">
        <f>IF(A236="","",COUNTIFS('Stability Checks'!$A$5:$A$2000,A236,'Stability Checks'!$C$5:$C$2000,"Re-prompt",'Stability Checks'!$E$5:$E$2000,"Pass"))</f>
        <v/>
      </c>
      <c r="R236" s="47">
        <f>IF(A236="","",'Run Plan'!Q236)</f>
        <v/>
      </c>
      <c r="S236" s="50" t="n"/>
    </row>
    <row r="237" ht="15.75" customHeight="1" s="40">
      <c r="A237" s="55">
        <f>IF('Run Plan'!A237="","",'Run Plan'!A237)</f>
        <v/>
      </c>
      <c r="B237" s="55">
        <f>IF(A237="","",'Run Plan'!C237)</f>
        <v/>
      </c>
      <c r="C237" s="55">
        <f>IF(A237="","",'Run Plan'!E237)</f>
        <v/>
      </c>
      <c r="D237" s="54">
        <f>IF(A237="","",'Run Plan'!G237)</f>
        <v/>
      </c>
      <c r="E237" s="47">
        <f>IF(A237="","",'Run Plan'!K237)</f>
        <v/>
      </c>
      <c r="F237" s="47">
        <f>IF(A237="","",'Run Plan'!J237)</f>
        <v/>
      </c>
      <c r="G237" s="56">
        <f>IF(A237="","",COUNTIF('Turn Log'!$B$5:$B$5000,A237))</f>
        <v/>
      </c>
      <c r="H237" s="56">
        <f>IF(A237="","",IFERROR(MINIFS('Turn Log'!$C$5:$C$5000,'Turn Log'!$B$5:$B$5000,A237,'Turn Log'!$Q$5:$Q$5000,"Pass"),""))</f>
        <v/>
      </c>
      <c r="I237" s="56">
        <f>IF(A237="","",IFERROR(MAXIFS('Turn Log'!$C$5:$C$5000,'Turn Log'!$B$5:$B$5000,A237),""))</f>
        <v/>
      </c>
      <c r="J237" s="56">
        <f>IF(A237="","",IFERROR(INDEX('Turn Log'!$Q$5:$Q$5000,MATCH(1,('Turn Log'!$B$5:$B$5000=A237)*('Turn Log'!$C$5:$C$5000=I237),0)),""))</f>
        <v/>
      </c>
      <c r="K237" s="56">
        <f>IF(A237="","",IFERROR(INDEX('Turn Log'!$R$5:$R$5000,MATCH(1,('Turn Log'!$B$5:$B$5000=A237)*('Turn Log'!$C$5:$C$5000=I237),0)),""))</f>
        <v/>
      </c>
      <c r="L237" s="56">
        <f>IF(A237="","",COUNTIFS('Turn Log'!$B$5:$B$5000,A237,'Turn Log'!$X$5:$X$5000,1))</f>
        <v/>
      </c>
      <c r="M237" s="56">
        <f>IF(A237="","",COUNTIFS('Turn Log'!$B$5:$B$5000,A237,'Turn Log'!$Y$5:$Y$5000,1))</f>
        <v/>
      </c>
      <c r="N237" s="56">
        <f>IF(A237="","",COUNTIFS('Turn Log'!$B$5:$B$5000,A237,'Turn Log'!$W$5:$W$5000,1))</f>
        <v/>
      </c>
      <c r="O237" s="56">
        <f>IF(H237="","No","Yes")</f>
        <v/>
      </c>
      <c r="P237" s="56">
        <f>IF(A237="","",COUNTIFS('Stability Checks'!$A$5:$A$2000,A237,'Stability Checks'!$C$5:$C$2000,"Re-execution",'Stability Checks'!$E$5:$E$2000,"Pass"))</f>
        <v/>
      </c>
      <c r="Q237" s="56">
        <f>IF(A237="","",COUNTIFS('Stability Checks'!$A$5:$A$2000,A237,'Stability Checks'!$C$5:$C$2000,"Re-prompt",'Stability Checks'!$E$5:$E$2000,"Pass"))</f>
        <v/>
      </c>
      <c r="R237" s="47">
        <f>IF(A237="","",'Run Plan'!Q237)</f>
        <v/>
      </c>
      <c r="S237" s="50" t="n"/>
    </row>
    <row r="238" ht="15.75" customHeight="1" s="40">
      <c r="A238" s="55">
        <f>IF('Run Plan'!A238="","",'Run Plan'!A238)</f>
        <v/>
      </c>
      <c r="B238" s="55">
        <f>IF(A238="","",'Run Plan'!C238)</f>
        <v/>
      </c>
      <c r="C238" s="55">
        <f>IF(A238="","",'Run Plan'!E238)</f>
        <v/>
      </c>
      <c r="D238" s="54">
        <f>IF(A238="","",'Run Plan'!G238)</f>
        <v/>
      </c>
      <c r="E238" s="47">
        <f>IF(A238="","",'Run Plan'!K238)</f>
        <v/>
      </c>
      <c r="F238" s="47">
        <f>IF(A238="","",'Run Plan'!J238)</f>
        <v/>
      </c>
      <c r="G238" s="56">
        <f>IF(A238="","",COUNTIF('Turn Log'!$B$5:$B$5000,A238))</f>
        <v/>
      </c>
      <c r="H238" s="56">
        <f>IF(A238="","",IFERROR(MINIFS('Turn Log'!$C$5:$C$5000,'Turn Log'!$B$5:$B$5000,A238,'Turn Log'!$Q$5:$Q$5000,"Pass"),""))</f>
        <v/>
      </c>
      <c r="I238" s="56">
        <f>IF(A238="","",IFERROR(MAXIFS('Turn Log'!$C$5:$C$5000,'Turn Log'!$B$5:$B$5000,A238),""))</f>
        <v/>
      </c>
      <c r="J238" s="56">
        <f>IF(A238="","",IFERROR(INDEX('Turn Log'!$Q$5:$Q$5000,MATCH(1,('Turn Log'!$B$5:$B$5000=A238)*('Turn Log'!$C$5:$C$5000=I238),0)),""))</f>
        <v/>
      </c>
      <c r="K238" s="56">
        <f>IF(A238="","",IFERROR(INDEX('Turn Log'!$R$5:$R$5000,MATCH(1,('Turn Log'!$B$5:$B$5000=A238)*('Turn Log'!$C$5:$C$5000=I238),0)),""))</f>
        <v/>
      </c>
      <c r="L238" s="56">
        <f>IF(A238="","",COUNTIFS('Turn Log'!$B$5:$B$5000,A238,'Turn Log'!$X$5:$X$5000,1))</f>
        <v/>
      </c>
      <c r="M238" s="56">
        <f>IF(A238="","",COUNTIFS('Turn Log'!$B$5:$B$5000,A238,'Turn Log'!$Y$5:$Y$5000,1))</f>
        <v/>
      </c>
      <c r="N238" s="56">
        <f>IF(A238="","",COUNTIFS('Turn Log'!$B$5:$B$5000,A238,'Turn Log'!$W$5:$W$5000,1))</f>
        <v/>
      </c>
      <c r="O238" s="56">
        <f>IF(H238="","No","Yes")</f>
        <v/>
      </c>
      <c r="P238" s="56">
        <f>IF(A238="","",COUNTIFS('Stability Checks'!$A$5:$A$2000,A238,'Stability Checks'!$C$5:$C$2000,"Re-execution",'Stability Checks'!$E$5:$E$2000,"Pass"))</f>
        <v/>
      </c>
      <c r="Q238" s="56">
        <f>IF(A238="","",COUNTIFS('Stability Checks'!$A$5:$A$2000,A238,'Stability Checks'!$C$5:$C$2000,"Re-prompt",'Stability Checks'!$E$5:$E$2000,"Pass"))</f>
        <v/>
      </c>
      <c r="R238" s="47">
        <f>IF(A238="","",'Run Plan'!Q238)</f>
        <v/>
      </c>
      <c r="S238" s="50" t="n"/>
    </row>
    <row r="239" ht="15.75" customHeight="1" s="40">
      <c r="A239" s="55">
        <f>IF('Run Plan'!A239="","",'Run Plan'!A239)</f>
        <v/>
      </c>
      <c r="B239" s="55">
        <f>IF(A239="","",'Run Plan'!C239)</f>
        <v/>
      </c>
      <c r="C239" s="55">
        <f>IF(A239="","",'Run Plan'!E239)</f>
        <v/>
      </c>
      <c r="D239" s="54">
        <f>IF(A239="","",'Run Plan'!G239)</f>
        <v/>
      </c>
      <c r="E239" s="47">
        <f>IF(A239="","",'Run Plan'!K239)</f>
        <v/>
      </c>
      <c r="F239" s="47">
        <f>IF(A239="","",'Run Plan'!J239)</f>
        <v/>
      </c>
      <c r="G239" s="56">
        <f>IF(A239="","",COUNTIF('Turn Log'!$B$5:$B$5000,A239))</f>
        <v/>
      </c>
      <c r="H239" s="56">
        <f>IF(A239="","",IFERROR(MINIFS('Turn Log'!$C$5:$C$5000,'Turn Log'!$B$5:$B$5000,A239,'Turn Log'!$Q$5:$Q$5000,"Pass"),""))</f>
        <v/>
      </c>
      <c r="I239" s="56">
        <f>IF(A239="","",IFERROR(MAXIFS('Turn Log'!$C$5:$C$5000,'Turn Log'!$B$5:$B$5000,A239),""))</f>
        <v/>
      </c>
      <c r="J239" s="56">
        <f>IF(A239="","",IFERROR(INDEX('Turn Log'!$Q$5:$Q$5000,MATCH(1,('Turn Log'!$B$5:$B$5000=A239)*('Turn Log'!$C$5:$C$5000=I239),0)),""))</f>
        <v/>
      </c>
      <c r="K239" s="56">
        <f>IF(A239="","",IFERROR(INDEX('Turn Log'!$R$5:$R$5000,MATCH(1,('Turn Log'!$B$5:$B$5000=A239)*('Turn Log'!$C$5:$C$5000=I239),0)),""))</f>
        <v/>
      </c>
      <c r="L239" s="56">
        <f>IF(A239="","",COUNTIFS('Turn Log'!$B$5:$B$5000,A239,'Turn Log'!$X$5:$X$5000,1))</f>
        <v/>
      </c>
      <c r="M239" s="56">
        <f>IF(A239="","",COUNTIFS('Turn Log'!$B$5:$B$5000,A239,'Turn Log'!$Y$5:$Y$5000,1))</f>
        <v/>
      </c>
      <c r="N239" s="56">
        <f>IF(A239="","",COUNTIFS('Turn Log'!$B$5:$B$5000,A239,'Turn Log'!$W$5:$W$5000,1))</f>
        <v/>
      </c>
      <c r="O239" s="56">
        <f>IF(H239="","No","Yes")</f>
        <v/>
      </c>
      <c r="P239" s="56">
        <f>IF(A239="","",COUNTIFS('Stability Checks'!$A$5:$A$2000,A239,'Stability Checks'!$C$5:$C$2000,"Re-execution",'Stability Checks'!$E$5:$E$2000,"Pass"))</f>
        <v/>
      </c>
      <c r="Q239" s="56">
        <f>IF(A239="","",COUNTIFS('Stability Checks'!$A$5:$A$2000,A239,'Stability Checks'!$C$5:$C$2000,"Re-prompt",'Stability Checks'!$E$5:$E$2000,"Pass"))</f>
        <v/>
      </c>
      <c r="R239" s="47">
        <f>IF(A239="","",'Run Plan'!Q239)</f>
        <v/>
      </c>
      <c r="S239" s="50" t="n"/>
    </row>
    <row r="240" ht="15.75" customHeight="1" s="40">
      <c r="A240" s="55">
        <f>IF('Run Plan'!A240="","",'Run Plan'!A240)</f>
        <v/>
      </c>
      <c r="B240" s="55">
        <f>IF(A240="","",'Run Plan'!C240)</f>
        <v/>
      </c>
      <c r="C240" s="55">
        <f>IF(A240="","",'Run Plan'!E240)</f>
        <v/>
      </c>
      <c r="D240" s="54">
        <f>IF(A240="","",'Run Plan'!G240)</f>
        <v/>
      </c>
      <c r="E240" s="47">
        <f>IF(A240="","",'Run Plan'!K240)</f>
        <v/>
      </c>
      <c r="F240" s="47">
        <f>IF(A240="","",'Run Plan'!J240)</f>
        <v/>
      </c>
      <c r="G240" s="56">
        <f>IF(A240="","",COUNTIF('Turn Log'!$B$5:$B$5000,A240))</f>
        <v/>
      </c>
      <c r="H240" s="56">
        <f>IF(A240="","",IFERROR(MINIFS('Turn Log'!$C$5:$C$5000,'Turn Log'!$B$5:$B$5000,A240,'Turn Log'!$Q$5:$Q$5000,"Pass"),""))</f>
        <v/>
      </c>
      <c r="I240" s="56">
        <f>IF(A240="","",IFERROR(MAXIFS('Turn Log'!$C$5:$C$5000,'Turn Log'!$B$5:$B$5000,A240),""))</f>
        <v/>
      </c>
      <c r="J240" s="56">
        <f>IF(A240="","",IFERROR(INDEX('Turn Log'!$Q$5:$Q$5000,MATCH(1,('Turn Log'!$B$5:$B$5000=A240)*('Turn Log'!$C$5:$C$5000=I240),0)),""))</f>
        <v/>
      </c>
      <c r="K240" s="56">
        <f>IF(A240="","",IFERROR(INDEX('Turn Log'!$R$5:$R$5000,MATCH(1,('Turn Log'!$B$5:$B$5000=A240)*('Turn Log'!$C$5:$C$5000=I240),0)),""))</f>
        <v/>
      </c>
      <c r="L240" s="56">
        <f>IF(A240="","",COUNTIFS('Turn Log'!$B$5:$B$5000,A240,'Turn Log'!$X$5:$X$5000,1))</f>
        <v/>
      </c>
      <c r="M240" s="56">
        <f>IF(A240="","",COUNTIFS('Turn Log'!$B$5:$B$5000,A240,'Turn Log'!$Y$5:$Y$5000,1))</f>
        <v/>
      </c>
      <c r="N240" s="56">
        <f>IF(A240="","",COUNTIFS('Turn Log'!$B$5:$B$5000,A240,'Turn Log'!$W$5:$W$5000,1))</f>
        <v/>
      </c>
      <c r="O240" s="56">
        <f>IF(H240="","No","Yes")</f>
        <v/>
      </c>
      <c r="P240" s="56">
        <f>IF(A240="","",COUNTIFS('Stability Checks'!$A$5:$A$2000,A240,'Stability Checks'!$C$5:$C$2000,"Re-execution",'Stability Checks'!$E$5:$E$2000,"Pass"))</f>
        <v/>
      </c>
      <c r="Q240" s="56">
        <f>IF(A240="","",COUNTIFS('Stability Checks'!$A$5:$A$2000,A240,'Stability Checks'!$C$5:$C$2000,"Re-prompt",'Stability Checks'!$E$5:$E$2000,"Pass"))</f>
        <v/>
      </c>
      <c r="R240" s="47">
        <f>IF(A240="","",'Run Plan'!Q240)</f>
        <v/>
      </c>
      <c r="S240" s="50" t="n"/>
    </row>
    <row r="241" ht="15.75" customHeight="1" s="40">
      <c r="A241" s="55">
        <f>IF('Run Plan'!A241="","",'Run Plan'!A241)</f>
        <v/>
      </c>
      <c r="B241" s="55">
        <f>IF(A241="","",'Run Plan'!C241)</f>
        <v/>
      </c>
      <c r="C241" s="55">
        <f>IF(A241="","",'Run Plan'!E241)</f>
        <v/>
      </c>
      <c r="D241" s="54">
        <f>IF(A241="","",'Run Plan'!G241)</f>
        <v/>
      </c>
      <c r="E241" s="47">
        <f>IF(A241="","",'Run Plan'!K241)</f>
        <v/>
      </c>
      <c r="F241" s="47">
        <f>IF(A241="","",'Run Plan'!J241)</f>
        <v/>
      </c>
      <c r="G241" s="56">
        <f>IF(A241="","",COUNTIF('Turn Log'!$B$5:$B$5000,A241))</f>
        <v/>
      </c>
      <c r="H241" s="56">
        <f>IF(A241="","",IFERROR(MINIFS('Turn Log'!$C$5:$C$5000,'Turn Log'!$B$5:$B$5000,A241,'Turn Log'!$Q$5:$Q$5000,"Pass"),""))</f>
        <v/>
      </c>
      <c r="I241" s="56">
        <f>IF(A241="","",IFERROR(MAXIFS('Turn Log'!$C$5:$C$5000,'Turn Log'!$B$5:$B$5000,A241),""))</f>
        <v/>
      </c>
      <c r="J241" s="56">
        <f>IF(A241="","",IFERROR(INDEX('Turn Log'!$Q$5:$Q$5000,MATCH(1,('Turn Log'!$B$5:$B$5000=A241)*('Turn Log'!$C$5:$C$5000=I241),0)),""))</f>
        <v/>
      </c>
      <c r="K241" s="56">
        <f>IF(A241="","",IFERROR(INDEX('Turn Log'!$R$5:$R$5000,MATCH(1,('Turn Log'!$B$5:$B$5000=A241)*('Turn Log'!$C$5:$C$5000=I241),0)),""))</f>
        <v/>
      </c>
      <c r="L241" s="56">
        <f>IF(A241="","",COUNTIFS('Turn Log'!$B$5:$B$5000,A241,'Turn Log'!$X$5:$X$5000,1))</f>
        <v/>
      </c>
      <c r="M241" s="56">
        <f>IF(A241="","",COUNTIFS('Turn Log'!$B$5:$B$5000,A241,'Turn Log'!$Y$5:$Y$5000,1))</f>
        <v/>
      </c>
      <c r="N241" s="56">
        <f>IF(A241="","",COUNTIFS('Turn Log'!$B$5:$B$5000,A241,'Turn Log'!$W$5:$W$5000,1))</f>
        <v/>
      </c>
      <c r="O241" s="56">
        <f>IF(H241="","No","Yes")</f>
        <v/>
      </c>
      <c r="P241" s="56">
        <f>IF(A241="","",COUNTIFS('Stability Checks'!$A$5:$A$2000,A241,'Stability Checks'!$C$5:$C$2000,"Re-execution",'Stability Checks'!$E$5:$E$2000,"Pass"))</f>
        <v/>
      </c>
      <c r="Q241" s="56">
        <f>IF(A241="","",COUNTIFS('Stability Checks'!$A$5:$A$2000,A241,'Stability Checks'!$C$5:$C$2000,"Re-prompt",'Stability Checks'!$E$5:$E$2000,"Pass"))</f>
        <v/>
      </c>
      <c r="R241" s="47">
        <f>IF(A241="","",'Run Plan'!Q241)</f>
        <v/>
      </c>
      <c r="S241" s="50" t="n"/>
    </row>
    <row r="242" ht="15.75" customHeight="1" s="40">
      <c r="A242" s="55">
        <f>IF('Run Plan'!A242="","",'Run Plan'!A242)</f>
        <v/>
      </c>
      <c r="B242" s="55">
        <f>IF(A242="","",'Run Plan'!C242)</f>
        <v/>
      </c>
      <c r="C242" s="55">
        <f>IF(A242="","",'Run Plan'!E242)</f>
        <v/>
      </c>
      <c r="D242" s="54">
        <f>IF(A242="","",'Run Plan'!G242)</f>
        <v/>
      </c>
      <c r="E242" s="47">
        <f>IF(A242="","",'Run Plan'!K242)</f>
        <v/>
      </c>
      <c r="F242" s="47">
        <f>IF(A242="","",'Run Plan'!J242)</f>
        <v/>
      </c>
      <c r="G242" s="56">
        <f>IF(A242="","",COUNTIF('Turn Log'!$B$5:$B$5000,A242))</f>
        <v/>
      </c>
      <c r="H242" s="56">
        <f>IF(A242="","",IFERROR(MINIFS('Turn Log'!$C$5:$C$5000,'Turn Log'!$B$5:$B$5000,A242,'Turn Log'!$Q$5:$Q$5000,"Pass"),""))</f>
        <v/>
      </c>
      <c r="I242" s="56">
        <f>IF(A242="","",IFERROR(MAXIFS('Turn Log'!$C$5:$C$5000,'Turn Log'!$B$5:$B$5000,A242),""))</f>
        <v/>
      </c>
      <c r="J242" s="56">
        <f>IF(A242="","",IFERROR(INDEX('Turn Log'!$Q$5:$Q$5000,MATCH(1,('Turn Log'!$B$5:$B$5000=A242)*('Turn Log'!$C$5:$C$5000=I242),0)),""))</f>
        <v/>
      </c>
      <c r="K242" s="56">
        <f>IF(A242="","",IFERROR(INDEX('Turn Log'!$R$5:$R$5000,MATCH(1,('Turn Log'!$B$5:$B$5000=A242)*('Turn Log'!$C$5:$C$5000=I242),0)),""))</f>
        <v/>
      </c>
      <c r="L242" s="56">
        <f>IF(A242="","",COUNTIFS('Turn Log'!$B$5:$B$5000,A242,'Turn Log'!$X$5:$X$5000,1))</f>
        <v/>
      </c>
      <c r="M242" s="56">
        <f>IF(A242="","",COUNTIFS('Turn Log'!$B$5:$B$5000,A242,'Turn Log'!$Y$5:$Y$5000,1))</f>
        <v/>
      </c>
      <c r="N242" s="56">
        <f>IF(A242="","",COUNTIFS('Turn Log'!$B$5:$B$5000,A242,'Turn Log'!$W$5:$W$5000,1))</f>
        <v/>
      </c>
      <c r="O242" s="56">
        <f>IF(H242="","No","Yes")</f>
        <v/>
      </c>
      <c r="P242" s="56">
        <f>IF(A242="","",COUNTIFS('Stability Checks'!$A$5:$A$2000,A242,'Stability Checks'!$C$5:$C$2000,"Re-execution",'Stability Checks'!$E$5:$E$2000,"Pass"))</f>
        <v/>
      </c>
      <c r="Q242" s="56">
        <f>IF(A242="","",COUNTIFS('Stability Checks'!$A$5:$A$2000,A242,'Stability Checks'!$C$5:$C$2000,"Re-prompt",'Stability Checks'!$E$5:$E$2000,"Pass"))</f>
        <v/>
      </c>
      <c r="R242" s="47">
        <f>IF(A242="","",'Run Plan'!Q242)</f>
        <v/>
      </c>
      <c r="S242" s="50" t="n"/>
    </row>
    <row r="243" ht="15.75" customHeight="1" s="40">
      <c r="A243" s="55">
        <f>IF('Run Plan'!A243="","",'Run Plan'!A243)</f>
        <v/>
      </c>
      <c r="B243" s="55">
        <f>IF(A243="","",'Run Plan'!C243)</f>
        <v/>
      </c>
      <c r="C243" s="55">
        <f>IF(A243="","",'Run Plan'!E243)</f>
        <v/>
      </c>
      <c r="D243" s="54">
        <f>IF(A243="","",'Run Plan'!G243)</f>
        <v/>
      </c>
      <c r="E243" s="47">
        <f>IF(A243="","",'Run Plan'!K243)</f>
        <v/>
      </c>
      <c r="F243" s="47">
        <f>IF(A243="","",'Run Plan'!J243)</f>
        <v/>
      </c>
      <c r="G243" s="56">
        <f>IF(A243="","",COUNTIF('Turn Log'!$B$5:$B$5000,A243))</f>
        <v/>
      </c>
      <c r="H243" s="56">
        <f>IF(A243="","",IFERROR(MINIFS('Turn Log'!$C$5:$C$5000,'Turn Log'!$B$5:$B$5000,A243,'Turn Log'!$Q$5:$Q$5000,"Pass"),""))</f>
        <v/>
      </c>
      <c r="I243" s="56">
        <f>IF(A243="","",IFERROR(MAXIFS('Turn Log'!$C$5:$C$5000,'Turn Log'!$B$5:$B$5000,A243),""))</f>
        <v/>
      </c>
      <c r="J243" s="56">
        <f>IF(A243="","",IFERROR(INDEX('Turn Log'!$Q$5:$Q$5000,MATCH(1,('Turn Log'!$B$5:$B$5000=A243)*('Turn Log'!$C$5:$C$5000=I243),0)),""))</f>
        <v/>
      </c>
      <c r="K243" s="56">
        <f>IF(A243="","",IFERROR(INDEX('Turn Log'!$R$5:$R$5000,MATCH(1,('Turn Log'!$B$5:$B$5000=A243)*('Turn Log'!$C$5:$C$5000=I243),0)),""))</f>
        <v/>
      </c>
      <c r="L243" s="56">
        <f>IF(A243="","",COUNTIFS('Turn Log'!$B$5:$B$5000,A243,'Turn Log'!$X$5:$X$5000,1))</f>
        <v/>
      </c>
      <c r="M243" s="56">
        <f>IF(A243="","",COUNTIFS('Turn Log'!$B$5:$B$5000,A243,'Turn Log'!$Y$5:$Y$5000,1))</f>
        <v/>
      </c>
      <c r="N243" s="56">
        <f>IF(A243="","",COUNTIFS('Turn Log'!$B$5:$B$5000,A243,'Turn Log'!$W$5:$W$5000,1))</f>
        <v/>
      </c>
      <c r="O243" s="56">
        <f>IF(H243="","No","Yes")</f>
        <v/>
      </c>
      <c r="P243" s="56">
        <f>IF(A243="","",COUNTIFS('Stability Checks'!$A$5:$A$2000,A243,'Stability Checks'!$C$5:$C$2000,"Re-execution",'Stability Checks'!$E$5:$E$2000,"Pass"))</f>
        <v/>
      </c>
      <c r="Q243" s="56">
        <f>IF(A243="","",COUNTIFS('Stability Checks'!$A$5:$A$2000,A243,'Stability Checks'!$C$5:$C$2000,"Re-prompt",'Stability Checks'!$E$5:$E$2000,"Pass"))</f>
        <v/>
      </c>
      <c r="R243" s="47">
        <f>IF(A243="","",'Run Plan'!Q243)</f>
        <v/>
      </c>
      <c r="S243" s="50" t="n"/>
    </row>
    <row r="244" ht="15.75" customHeight="1" s="40">
      <c r="A244" s="55">
        <f>IF('Run Plan'!A244="","",'Run Plan'!A244)</f>
        <v/>
      </c>
      <c r="B244" s="55">
        <f>IF(A244="","",'Run Plan'!C244)</f>
        <v/>
      </c>
      <c r="C244" s="55">
        <f>IF(A244="","",'Run Plan'!E244)</f>
        <v/>
      </c>
      <c r="D244" s="54">
        <f>IF(A244="","",'Run Plan'!G244)</f>
        <v/>
      </c>
      <c r="E244" s="47">
        <f>IF(A244="","",'Run Plan'!K244)</f>
        <v/>
      </c>
      <c r="F244" s="47">
        <f>IF(A244="","",'Run Plan'!J244)</f>
        <v/>
      </c>
      <c r="G244" s="56">
        <f>IF(A244="","",COUNTIF('Turn Log'!$B$5:$B$5000,A244))</f>
        <v/>
      </c>
      <c r="H244" s="56">
        <f>IF(A244="","",IFERROR(MINIFS('Turn Log'!$C$5:$C$5000,'Turn Log'!$B$5:$B$5000,A244,'Turn Log'!$Q$5:$Q$5000,"Pass"),""))</f>
        <v/>
      </c>
      <c r="I244" s="56">
        <f>IF(A244="","",IFERROR(MAXIFS('Turn Log'!$C$5:$C$5000,'Turn Log'!$B$5:$B$5000,A244),""))</f>
        <v/>
      </c>
      <c r="J244" s="56">
        <f>IF(A244="","",IFERROR(INDEX('Turn Log'!$Q$5:$Q$5000,MATCH(1,('Turn Log'!$B$5:$B$5000=A244)*('Turn Log'!$C$5:$C$5000=I244),0)),""))</f>
        <v/>
      </c>
      <c r="K244" s="56">
        <f>IF(A244="","",IFERROR(INDEX('Turn Log'!$R$5:$R$5000,MATCH(1,('Turn Log'!$B$5:$B$5000=A244)*('Turn Log'!$C$5:$C$5000=I244),0)),""))</f>
        <v/>
      </c>
      <c r="L244" s="56">
        <f>IF(A244="","",COUNTIFS('Turn Log'!$B$5:$B$5000,A244,'Turn Log'!$X$5:$X$5000,1))</f>
        <v/>
      </c>
      <c r="M244" s="56">
        <f>IF(A244="","",COUNTIFS('Turn Log'!$B$5:$B$5000,A244,'Turn Log'!$Y$5:$Y$5000,1))</f>
        <v/>
      </c>
      <c r="N244" s="56">
        <f>IF(A244="","",COUNTIFS('Turn Log'!$B$5:$B$5000,A244,'Turn Log'!$W$5:$W$5000,1))</f>
        <v/>
      </c>
      <c r="O244" s="56">
        <f>IF(H244="","No","Yes")</f>
        <v/>
      </c>
      <c r="P244" s="56">
        <f>IF(A244="","",COUNTIFS('Stability Checks'!$A$5:$A$2000,A244,'Stability Checks'!$C$5:$C$2000,"Re-execution",'Stability Checks'!$E$5:$E$2000,"Pass"))</f>
        <v/>
      </c>
      <c r="Q244" s="56">
        <f>IF(A244="","",COUNTIFS('Stability Checks'!$A$5:$A$2000,A244,'Stability Checks'!$C$5:$C$2000,"Re-prompt",'Stability Checks'!$E$5:$E$2000,"Pass"))</f>
        <v/>
      </c>
      <c r="R244" s="47">
        <f>IF(A244="","",'Run Plan'!Q244)</f>
        <v/>
      </c>
      <c r="S244" s="50" t="n"/>
    </row>
    <row r="245" ht="15.75" customHeight="1" s="40">
      <c r="A245" s="55">
        <f>IF('Run Plan'!A245="","",'Run Plan'!A245)</f>
        <v/>
      </c>
      <c r="B245" s="55">
        <f>IF(A245="","",'Run Plan'!C245)</f>
        <v/>
      </c>
      <c r="C245" s="55">
        <f>IF(A245="","",'Run Plan'!E245)</f>
        <v/>
      </c>
      <c r="D245" s="54">
        <f>IF(A245="","",'Run Plan'!G245)</f>
        <v/>
      </c>
      <c r="E245" s="47">
        <f>IF(A245="","",'Run Plan'!K245)</f>
        <v/>
      </c>
      <c r="F245" s="47">
        <f>IF(A245="","",'Run Plan'!J245)</f>
        <v/>
      </c>
      <c r="G245" s="56">
        <f>IF(A245="","",COUNTIF('Turn Log'!$B$5:$B$5000,A245))</f>
        <v/>
      </c>
      <c r="H245" s="56">
        <f>IF(A245="","",IFERROR(MINIFS('Turn Log'!$C$5:$C$5000,'Turn Log'!$B$5:$B$5000,A245,'Turn Log'!$Q$5:$Q$5000,"Pass"),""))</f>
        <v/>
      </c>
      <c r="I245" s="56">
        <f>IF(A245="","",IFERROR(MAXIFS('Turn Log'!$C$5:$C$5000,'Turn Log'!$B$5:$B$5000,A245),""))</f>
        <v/>
      </c>
      <c r="J245" s="56">
        <f>IF(A245="","",IFERROR(INDEX('Turn Log'!$Q$5:$Q$5000,MATCH(1,('Turn Log'!$B$5:$B$5000=A245)*('Turn Log'!$C$5:$C$5000=I245),0)),""))</f>
        <v/>
      </c>
      <c r="K245" s="56">
        <f>IF(A245="","",IFERROR(INDEX('Turn Log'!$R$5:$R$5000,MATCH(1,('Turn Log'!$B$5:$B$5000=A245)*('Turn Log'!$C$5:$C$5000=I245),0)),""))</f>
        <v/>
      </c>
      <c r="L245" s="56">
        <f>IF(A245="","",COUNTIFS('Turn Log'!$B$5:$B$5000,A245,'Turn Log'!$X$5:$X$5000,1))</f>
        <v/>
      </c>
      <c r="M245" s="56">
        <f>IF(A245="","",COUNTIFS('Turn Log'!$B$5:$B$5000,A245,'Turn Log'!$Y$5:$Y$5000,1))</f>
        <v/>
      </c>
      <c r="N245" s="56">
        <f>IF(A245="","",COUNTIFS('Turn Log'!$B$5:$B$5000,A245,'Turn Log'!$W$5:$W$5000,1))</f>
        <v/>
      </c>
      <c r="O245" s="56">
        <f>IF(H245="","No","Yes")</f>
        <v/>
      </c>
      <c r="P245" s="56">
        <f>IF(A245="","",COUNTIFS('Stability Checks'!$A$5:$A$2000,A245,'Stability Checks'!$C$5:$C$2000,"Re-execution",'Stability Checks'!$E$5:$E$2000,"Pass"))</f>
        <v/>
      </c>
      <c r="Q245" s="56">
        <f>IF(A245="","",COUNTIFS('Stability Checks'!$A$5:$A$2000,A245,'Stability Checks'!$C$5:$C$2000,"Re-prompt",'Stability Checks'!$E$5:$E$2000,"Pass"))</f>
        <v/>
      </c>
      <c r="R245" s="47">
        <f>IF(A245="","",'Run Plan'!Q245)</f>
        <v/>
      </c>
      <c r="S245" s="50" t="n"/>
    </row>
    <row r="246" ht="15.75" customHeight="1" s="40">
      <c r="A246" s="55">
        <f>IF('Run Plan'!A246="","",'Run Plan'!A246)</f>
        <v/>
      </c>
      <c r="B246" s="55">
        <f>IF(A246="","",'Run Plan'!C246)</f>
        <v/>
      </c>
      <c r="C246" s="55">
        <f>IF(A246="","",'Run Plan'!E246)</f>
        <v/>
      </c>
      <c r="D246" s="54">
        <f>IF(A246="","",'Run Plan'!G246)</f>
        <v/>
      </c>
      <c r="E246" s="47">
        <f>IF(A246="","",'Run Plan'!K246)</f>
        <v/>
      </c>
      <c r="F246" s="47">
        <f>IF(A246="","",'Run Plan'!J246)</f>
        <v/>
      </c>
      <c r="G246" s="56">
        <f>IF(A246="","",COUNTIF('Turn Log'!$B$5:$B$5000,A246))</f>
        <v/>
      </c>
      <c r="H246" s="56">
        <f>IF(A246="","",IFERROR(MINIFS('Turn Log'!$C$5:$C$5000,'Turn Log'!$B$5:$B$5000,A246,'Turn Log'!$Q$5:$Q$5000,"Pass"),""))</f>
        <v/>
      </c>
      <c r="I246" s="56">
        <f>IF(A246="","",IFERROR(MAXIFS('Turn Log'!$C$5:$C$5000,'Turn Log'!$B$5:$B$5000,A246),""))</f>
        <v/>
      </c>
      <c r="J246" s="56">
        <f>IF(A246="","",IFERROR(INDEX('Turn Log'!$Q$5:$Q$5000,MATCH(1,('Turn Log'!$B$5:$B$5000=A246)*('Turn Log'!$C$5:$C$5000=I246),0)),""))</f>
        <v/>
      </c>
      <c r="K246" s="56">
        <f>IF(A246="","",IFERROR(INDEX('Turn Log'!$R$5:$R$5000,MATCH(1,('Turn Log'!$B$5:$B$5000=A246)*('Turn Log'!$C$5:$C$5000=I246),0)),""))</f>
        <v/>
      </c>
      <c r="L246" s="56">
        <f>IF(A246="","",COUNTIFS('Turn Log'!$B$5:$B$5000,A246,'Turn Log'!$X$5:$X$5000,1))</f>
        <v/>
      </c>
      <c r="M246" s="56">
        <f>IF(A246="","",COUNTIFS('Turn Log'!$B$5:$B$5000,A246,'Turn Log'!$Y$5:$Y$5000,1))</f>
        <v/>
      </c>
      <c r="N246" s="56">
        <f>IF(A246="","",COUNTIFS('Turn Log'!$B$5:$B$5000,A246,'Turn Log'!$W$5:$W$5000,1))</f>
        <v/>
      </c>
      <c r="O246" s="56">
        <f>IF(H246="","No","Yes")</f>
        <v/>
      </c>
      <c r="P246" s="56">
        <f>IF(A246="","",COUNTIFS('Stability Checks'!$A$5:$A$2000,A246,'Stability Checks'!$C$5:$C$2000,"Re-execution",'Stability Checks'!$E$5:$E$2000,"Pass"))</f>
        <v/>
      </c>
      <c r="Q246" s="56">
        <f>IF(A246="","",COUNTIFS('Stability Checks'!$A$5:$A$2000,A246,'Stability Checks'!$C$5:$C$2000,"Re-prompt",'Stability Checks'!$E$5:$E$2000,"Pass"))</f>
        <v/>
      </c>
      <c r="R246" s="47">
        <f>IF(A246="","",'Run Plan'!Q246)</f>
        <v/>
      </c>
      <c r="S246" s="50" t="n"/>
    </row>
    <row r="247" ht="15.75" customHeight="1" s="40">
      <c r="A247" s="55">
        <f>IF('Run Plan'!A247="","",'Run Plan'!A247)</f>
        <v/>
      </c>
      <c r="B247" s="55">
        <f>IF(A247="","",'Run Plan'!C247)</f>
        <v/>
      </c>
      <c r="C247" s="55">
        <f>IF(A247="","",'Run Plan'!E247)</f>
        <v/>
      </c>
      <c r="D247" s="54">
        <f>IF(A247="","",'Run Plan'!G247)</f>
        <v/>
      </c>
      <c r="E247" s="47">
        <f>IF(A247="","",'Run Plan'!K247)</f>
        <v/>
      </c>
      <c r="F247" s="47">
        <f>IF(A247="","",'Run Plan'!J247)</f>
        <v/>
      </c>
      <c r="G247" s="56">
        <f>IF(A247="","",COUNTIF('Turn Log'!$B$5:$B$5000,A247))</f>
        <v/>
      </c>
      <c r="H247" s="56">
        <f>IF(A247="","",IFERROR(MINIFS('Turn Log'!$C$5:$C$5000,'Turn Log'!$B$5:$B$5000,A247,'Turn Log'!$Q$5:$Q$5000,"Pass"),""))</f>
        <v/>
      </c>
      <c r="I247" s="56">
        <f>IF(A247="","",IFERROR(MAXIFS('Turn Log'!$C$5:$C$5000,'Turn Log'!$B$5:$B$5000,A247),""))</f>
        <v/>
      </c>
      <c r="J247" s="56">
        <f>IF(A247="","",IFERROR(INDEX('Turn Log'!$Q$5:$Q$5000,MATCH(1,('Turn Log'!$B$5:$B$5000=A247)*('Turn Log'!$C$5:$C$5000=I247),0)),""))</f>
        <v/>
      </c>
      <c r="K247" s="56">
        <f>IF(A247="","",IFERROR(INDEX('Turn Log'!$R$5:$R$5000,MATCH(1,('Turn Log'!$B$5:$B$5000=A247)*('Turn Log'!$C$5:$C$5000=I247),0)),""))</f>
        <v/>
      </c>
      <c r="L247" s="56">
        <f>IF(A247="","",COUNTIFS('Turn Log'!$B$5:$B$5000,A247,'Turn Log'!$X$5:$X$5000,1))</f>
        <v/>
      </c>
      <c r="M247" s="56">
        <f>IF(A247="","",COUNTIFS('Turn Log'!$B$5:$B$5000,A247,'Turn Log'!$Y$5:$Y$5000,1))</f>
        <v/>
      </c>
      <c r="N247" s="56">
        <f>IF(A247="","",COUNTIFS('Turn Log'!$B$5:$B$5000,A247,'Turn Log'!$W$5:$W$5000,1))</f>
        <v/>
      </c>
      <c r="O247" s="56">
        <f>IF(H247="","No","Yes")</f>
        <v/>
      </c>
      <c r="P247" s="56">
        <f>IF(A247="","",COUNTIFS('Stability Checks'!$A$5:$A$2000,A247,'Stability Checks'!$C$5:$C$2000,"Re-execution",'Stability Checks'!$E$5:$E$2000,"Pass"))</f>
        <v/>
      </c>
      <c r="Q247" s="56">
        <f>IF(A247="","",COUNTIFS('Stability Checks'!$A$5:$A$2000,A247,'Stability Checks'!$C$5:$C$2000,"Re-prompt",'Stability Checks'!$E$5:$E$2000,"Pass"))</f>
        <v/>
      </c>
      <c r="R247" s="47">
        <f>IF(A247="","",'Run Plan'!Q247)</f>
        <v/>
      </c>
      <c r="S247" s="50" t="n"/>
    </row>
    <row r="248" ht="15.75" customHeight="1" s="40">
      <c r="A248" s="55">
        <f>IF('Run Plan'!A248="","",'Run Plan'!A248)</f>
        <v/>
      </c>
      <c r="B248" s="55">
        <f>IF(A248="","",'Run Plan'!C248)</f>
        <v/>
      </c>
      <c r="C248" s="55">
        <f>IF(A248="","",'Run Plan'!E248)</f>
        <v/>
      </c>
      <c r="D248" s="54">
        <f>IF(A248="","",'Run Plan'!G248)</f>
        <v/>
      </c>
      <c r="E248" s="47">
        <f>IF(A248="","",'Run Plan'!K248)</f>
        <v/>
      </c>
      <c r="F248" s="47">
        <f>IF(A248="","",'Run Plan'!J248)</f>
        <v/>
      </c>
      <c r="G248" s="56">
        <f>IF(A248="","",COUNTIF('Turn Log'!$B$5:$B$5000,A248))</f>
        <v/>
      </c>
      <c r="H248" s="56">
        <f>IF(A248="","",IFERROR(MINIFS('Turn Log'!$C$5:$C$5000,'Turn Log'!$B$5:$B$5000,A248,'Turn Log'!$Q$5:$Q$5000,"Pass"),""))</f>
        <v/>
      </c>
      <c r="I248" s="56">
        <f>IF(A248="","",IFERROR(MAXIFS('Turn Log'!$C$5:$C$5000,'Turn Log'!$B$5:$B$5000,A248),""))</f>
        <v/>
      </c>
      <c r="J248" s="56">
        <f>IF(A248="","",IFERROR(INDEX('Turn Log'!$Q$5:$Q$5000,MATCH(1,('Turn Log'!$B$5:$B$5000=A248)*('Turn Log'!$C$5:$C$5000=I248),0)),""))</f>
        <v/>
      </c>
      <c r="K248" s="56">
        <f>IF(A248="","",IFERROR(INDEX('Turn Log'!$R$5:$R$5000,MATCH(1,('Turn Log'!$B$5:$B$5000=A248)*('Turn Log'!$C$5:$C$5000=I248),0)),""))</f>
        <v/>
      </c>
      <c r="L248" s="56">
        <f>IF(A248="","",COUNTIFS('Turn Log'!$B$5:$B$5000,A248,'Turn Log'!$X$5:$X$5000,1))</f>
        <v/>
      </c>
      <c r="M248" s="56">
        <f>IF(A248="","",COUNTIFS('Turn Log'!$B$5:$B$5000,A248,'Turn Log'!$Y$5:$Y$5000,1))</f>
        <v/>
      </c>
      <c r="N248" s="56">
        <f>IF(A248="","",COUNTIFS('Turn Log'!$B$5:$B$5000,A248,'Turn Log'!$W$5:$W$5000,1))</f>
        <v/>
      </c>
      <c r="O248" s="56">
        <f>IF(H248="","No","Yes")</f>
        <v/>
      </c>
      <c r="P248" s="56">
        <f>IF(A248="","",COUNTIFS('Stability Checks'!$A$5:$A$2000,A248,'Stability Checks'!$C$5:$C$2000,"Re-execution",'Stability Checks'!$E$5:$E$2000,"Pass"))</f>
        <v/>
      </c>
      <c r="Q248" s="56">
        <f>IF(A248="","",COUNTIFS('Stability Checks'!$A$5:$A$2000,A248,'Stability Checks'!$C$5:$C$2000,"Re-prompt",'Stability Checks'!$E$5:$E$2000,"Pass"))</f>
        <v/>
      </c>
      <c r="R248" s="47">
        <f>IF(A248="","",'Run Plan'!Q248)</f>
        <v/>
      </c>
      <c r="S248" s="50" t="n"/>
    </row>
    <row r="249" ht="15.75" customHeight="1" s="40">
      <c r="A249" s="55">
        <f>IF('Run Plan'!A249="","",'Run Plan'!A249)</f>
        <v/>
      </c>
      <c r="B249" s="55">
        <f>IF(A249="","",'Run Plan'!C249)</f>
        <v/>
      </c>
      <c r="C249" s="55">
        <f>IF(A249="","",'Run Plan'!E249)</f>
        <v/>
      </c>
      <c r="D249" s="54">
        <f>IF(A249="","",'Run Plan'!G249)</f>
        <v/>
      </c>
      <c r="E249" s="47">
        <f>IF(A249="","",'Run Plan'!K249)</f>
        <v/>
      </c>
      <c r="F249" s="47">
        <f>IF(A249="","",'Run Plan'!J249)</f>
        <v/>
      </c>
      <c r="G249" s="56">
        <f>IF(A249="","",COUNTIF('Turn Log'!$B$5:$B$5000,A249))</f>
        <v/>
      </c>
      <c r="H249" s="56">
        <f>IF(A249="","",IFERROR(MINIFS('Turn Log'!$C$5:$C$5000,'Turn Log'!$B$5:$B$5000,A249,'Turn Log'!$Q$5:$Q$5000,"Pass"),""))</f>
        <v/>
      </c>
      <c r="I249" s="56">
        <f>IF(A249="","",IFERROR(MAXIFS('Turn Log'!$C$5:$C$5000,'Turn Log'!$B$5:$B$5000,A249),""))</f>
        <v/>
      </c>
      <c r="J249" s="56">
        <f>IF(A249="","",IFERROR(INDEX('Turn Log'!$Q$5:$Q$5000,MATCH(1,('Turn Log'!$B$5:$B$5000=A249)*('Turn Log'!$C$5:$C$5000=I249),0)),""))</f>
        <v/>
      </c>
      <c r="K249" s="56">
        <f>IF(A249="","",IFERROR(INDEX('Turn Log'!$R$5:$R$5000,MATCH(1,('Turn Log'!$B$5:$B$5000=A249)*('Turn Log'!$C$5:$C$5000=I249),0)),""))</f>
        <v/>
      </c>
      <c r="L249" s="56">
        <f>IF(A249="","",COUNTIFS('Turn Log'!$B$5:$B$5000,A249,'Turn Log'!$X$5:$X$5000,1))</f>
        <v/>
      </c>
      <c r="M249" s="56">
        <f>IF(A249="","",COUNTIFS('Turn Log'!$B$5:$B$5000,A249,'Turn Log'!$Y$5:$Y$5000,1))</f>
        <v/>
      </c>
      <c r="N249" s="56">
        <f>IF(A249="","",COUNTIFS('Turn Log'!$B$5:$B$5000,A249,'Turn Log'!$W$5:$W$5000,1))</f>
        <v/>
      </c>
      <c r="O249" s="56">
        <f>IF(H249="","No","Yes")</f>
        <v/>
      </c>
      <c r="P249" s="56">
        <f>IF(A249="","",COUNTIFS('Stability Checks'!$A$5:$A$2000,A249,'Stability Checks'!$C$5:$C$2000,"Re-execution",'Stability Checks'!$E$5:$E$2000,"Pass"))</f>
        <v/>
      </c>
      <c r="Q249" s="56">
        <f>IF(A249="","",COUNTIFS('Stability Checks'!$A$5:$A$2000,A249,'Stability Checks'!$C$5:$C$2000,"Re-prompt",'Stability Checks'!$E$5:$E$2000,"Pass"))</f>
        <v/>
      </c>
      <c r="R249" s="47">
        <f>IF(A249="","",'Run Plan'!Q249)</f>
        <v/>
      </c>
      <c r="S249" s="50" t="n"/>
    </row>
    <row r="250" ht="15.75" customHeight="1" s="40">
      <c r="A250" s="55">
        <f>IF('Run Plan'!A250="","",'Run Plan'!A250)</f>
        <v/>
      </c>
      <c r="B250" s="55">
        <f>IF(A250="","",'Run Plan'!C250)</f>
        <v/>
      </c>
      <c r="C250" s="55">
        <f>IF(A250="","",'Run Plan'!E250)</f>
        <v/>
      </c>
      <c r="D250" s="54">
        <f>IF(A250="","",'Run Plan'!G250)</f>
        <v/>
      </c>
      <c r="E250" s="47">
        <f>IF(A250="","",'Run Plan'!K250)</f>
        <v/>
      </c>
      <c r="F250" s="47">
        <f>IF(A250="","",'Run Plan'!J250)</f>
        <v/>
      </c>
      <c r="G250" s="56">
        <f>IF(A250="","",COUNTIF('Turn Log'!$B$5:$B$5000,A250))</f>
        <v/>
      </c>
      <c r="H250" s="56">
        <f>IF(A250="","",IFERROR(MINIFS('Turn Log'!$C$5:$C$5000,'Turn Log'!$B$5:$B$5000,A250,'Turn Log'!$Q$5:$Q$5000,"Pass"),""))</f>
        <v/>
      </c>
      <c r="I250" s="56">
        <f>IF(A250="","",IFERROR(MAXIFS('Turn Log'!$C$5:$C$5000,'Turn Log'!$B$5:$B$5000,A250),""))</f>
        <v/>
      </c>
      <c r="J250" s="56">
        <f>IF(A250="","",IFERROR(INDEX('Turn Log'!$Q$5:$Q$5000,MATCH(1,('Turn Log'!$B$5:$B$5000=A250)*('Turn Log'!$C$5:$C$5000=I250),0)),""))</f>
        <v/>
      </c>
      <c r="K250" s="56">
        <f>IF(A250="","",IFERROR(INDEX('Turn Log'!$R$5:$R$5000,MATCH(1,('Turn Log'!$B$5:$B$5000=A250)*('Turn Log'!$C$5:$C$5000=I250),0)),""))</f>
        <v/>
      </c>
      <c r="L250" s="56">
        <f>IF(A250="","",COUNTIFS('Turn Log'!$B$5:$B$5000,A250,'Turn Log'!$X$5:$X$5000,1))</f>
        <v/>
      </c>
      <c r="M250" s="56">
        <f>IF(A250="","",COUNTIFS('Turn Log'!$B$5:$B$5000,A250,'Turn Log'!$Y$5:$Y$5000,1))</f>
        <v/>
      </c>
      <c r="N250" s="56">
        <f>IF(A250="","",COUNTIFS('Turn Log'!$B$5:$B$5000,A250,'Turn Log'!$W$5:$W$5000,1))</f>
        <v/>
      </c>
      <c r="O250" s="56">
        <f>IF(H250="","No","Yes")</f>
        <v/>
      </c>
      <c r="P250" s="56">
        <f>IF(A250="","",COUNTIFS('Stability Checks'!$A$5:$A$2000,A250,'Stability Checks'!$C$5:$C$2000,"Re-execution",'Stability Checks'!$E$5:$E$2000,"Pass"))</f>
        <v/>
      </c>
      <c r="Q250" s="56">
        <f>IF(A250="","",COUNTIFS('Stability Checks'!$A$5:$A$2000,A250,'Stability Checks'!$C$5:$C$2000,"Re-prompt",'Stability Checks'!$E$5:$E$2000,"Pass"))</f>
        <v/>
      </c>
      <c r="R250" s="47">
        <f>IF(A250="","",'Run Plan'!Q250)</f>
        <v/>
      </c>
      <c r="S250" s="50" t="n"/>
    </row>
    <row r="251" ht="15.75" customHeight="1" s="40">
      <c r="A251" s="55">
        <f>IF('Run Plan'!A251="","",'Run Plan'!A251)</f>
        <v/>
      </c>
      <c r="B251" s="55">
        <f>IF(A251="","",'Run Plan'!C251)</f>
        <v/>
      </c>
      <c r="C251" s="55">
        <f>IF(A251="","",'Run Plan'!E251)</f>
        <v/>
      </c>
      <c r="D251" s="54">
        <f>IF(A251="","",'Run Plan'!G251)</f>
        <v/>
      </c>
      <c r="E251" s="47">
        <f>IF(A251="","",'Run Plan'!K251)</f>
        <v/>
      </c>
      <c r="F251" s="47">
        <f>IF(A251="","",'Run Plan'!J251)</f>
        <v/>
      </c>
      <c r="G251" s="56">
        <f>IF(A251="","",COUNTIF('Turn Log'!$B$5:$B$5000,A251))</f>
        <v/>
      </c>
      <c r="H251" s="56">
        <f>IF(A251="","",IFERROR(MINIFS('Turn Log'!$C$5:$C$5000,'Turn Log'!$B$5:$B$5000,A251,'Turn Log'!$Q$5:$Q$5000,"Pass"),""))</f>
        <v/>
      </c>
      <c r="I251" s="56">
        <f>IF(A251="","",IFERROR(MAXIFS('Turn Log'!$C$5:$C$5000,'Turn Log'!$B$5:$B$5000,A251),""))</f>
        <v/>
      </c>
      <c r="J251" s="56">
        <f>IF(A251="","",IFERROR(INDEX('Turn Log'!$Q$5:$Q$5000,MATCH(1,('Turn Log'!$B$5:$B$5000=A251)*('Turn Log'!$C$5:$C$5000=I251),0)),""))</f>
        <v/>
      </c>
      <c r="K251" s="56">
        <f>IF(A251="","",IFERROR(INDEX('Turn Log'!$R$5:$R$5000,MATCH(1,('Turn Log'!$B$5:$B$5000=A251)*('Turn Log'!$C$5:$C$5000=I251),0)),""))</f>
        <v/>
      </c>
      <c r="L251" s="56">
        <f>IF(A251="","",COUNTIFS('Turn Log'!$B$5:$B$5000,A251,'Turn Log'!$X$5:$X$5000,1))</f>
        <v/>
      </c>
      <c r="M251" s="56">
        <f>IF(A251="","",COUNTIFS('Turn Log'!$B$5:$B$5000,A251,'Turn Log'!$Y$5:$Y$5000,1))</f>
        <v/>
      </c>
      <c r="N251" s="56">
        <f>IF(A251="","",COUNTIFS('Turn Log'!$B$5:$B$5000,A251,'Turn Log'!$W$5:$W$5000,1))</f>
        <v/>
      </c>
      <c r="O251" s="56">
        <f>IF(H251="","No","Yes")</f>
        <v/>
      </c>
      <c r="P251" s="56">
        <f>IF(A251="","",COUNTIFS('Stability Checks'!$A$5:$A$2000,A251,'Stability Checks'!$C$5:$C$2000,"Re-execution",'Stability Checks'!$E$5:$E$2000,"Pass"))</f>
        <v/>
      </c>
      <c r="Q251" s="56">
        <f>IF(A251="","",COUNTIFS('Stability Checks'!$A$5:$A$2000,A251,'Stability Checks'!$C$5:$C$2000,"Re-prompt",'Stability Checks'!$E$5:$E$2000,"Pass"))</f>
        <v/>
      </c>
      <c r="R251" s="47">
        <f>IF(A251="","",'Run Plan'!Q251)</f>
        <v/>
      </c>
      <c r="S251" s="50" t="n"/>
    </row>
    <row r="252" ht="15.75" customHeight="1" s="40">
      <c r="A252" s="55">
        <f>IF('Run Plan'!A252="","",'Run Plan'!A252)</f>
        <v/>
      </c>
      <c r="B252" s="55">
        <f>IF(A252="","",'Run Plan'!C252)</f>
        <v/>
      </c>
      <c r="C252" s="55">
        <f>IF(A252="","",'Run Plan'!E252)</f>
        <v/>
      </c>
      <c r="D252" s="54">
        <f>IF(A252="","",'Run Plan'!G252)</f>
        <v/>
      </c>
      <c r="E252" s="47">
        <f>IF(A252="","",'Run Plan'!K252)</f>
        <v/>
      </c>
      <c r="F252" s="47">
        <f>IF(A252="","",'Run Plan'!J252)</f>
        <v/>
      </c>
      <c r="G252" s="56">
        <f>IF(A252="","",COUNTIF('Turn Log'!$B$5:$B$5000,A252))</f>
        <v/>
      </c>
      <c r="H252" s="56">
        <f>IF(A252="","",IFERROR(MINIFS('Turn Log'!$C$5:$C$5000,'Turn Log'!$B$5:$B$5000,A252,'Turn Log'!$Q$5:$Q$5000,"Pass"),""))</f>
        <v/>
      </c>
      <c r="I252" s="56">
        <f>IF(A252="","",IFERROR(MAXIFS('Turn Log'!$C$5:$C$5000,'Turn Log'!$B$5:$B$5000,A252),""))</f>
        <v/>
      </c>
      <c r="J252" s="56">
        <f>IF(A252="","",IFERROR(INDEX('Turn Log'!$Q$5:$Q$5000,MATCH(1,('Turn Log'!$B$5:$B$5000=A252)*('Turn Log'!$C$5:$C$5000=I252),0)),""))</f>
        <v/>
      </c>
      <c r="K252" s="56">
        <f>IF(A252="","",IFERROR(INDEX('Turn Log'!$R$5:$R$5000,MATCH(1,('Turn Log'!$B$5:$B$5000=A252)*('Turn Log'!$C$5:$C$5000=I252),0)),""))</f>
        <v/>
      </c>
      <c r="L252" s="56">
        <f>IF(A252="","",COUNTIFS('Turn Log'!$B$5:$B$5000,A252,'Turn Log'!$X$5:$X$5000,1))</f>
        <v/>
      </c>
      <c r="M252" s="56">
        <f>IF(A252="","",COUNTIFS('Turn Log'!$B$5:$B$5000,A252,'Turn Log'!$Y$5:$Y$5000,1))</f>
        <v/>
      </c>
      <c r="N252" s="56">
        <f>IF(A252="","",COUNTIFS('Turn Log'!$B$5:$B$5000,A252,'Turn Log'!$W$5:$W$5000,1))</f>
        <v/>
      </c>
      <c r="O252" s="56">
        <f>IF(H252="","No","Yes")</f>
        <v/>
      </c>
      <c r="P252" s="56">
        <f>IF(A252="","",COUNTIFS('Stability Checks'!$A$5:$A$2000,A252,'Stability Checks'!$C$5:$C$2000,"Re-execution",'Stability Checks'!$E$5:$E$2000,"Pass"))</f>
        <v/>
      </c>
      <c r="Q252" s="56">
        <f>IF(A252="","",COUNTIFS('Stability Checks'!$A$5:$A$2000,A252,'Stability Checks'!$C$5:$C$2000,"Re-prompt",'Stability Checks'!$E$5:$E$2000,"Pass"))</f>
        <v/>
      </c>
      <c r="R252" s="47">
        <f>IF(A252="","",'Run Plan'!Q252)</f>
        <v/>
      </c>
      <c r="S252" s="50" t="n"/>
    </row>
    <row r="253" ht="15.75" customHeight="1" s="40">
      <c r="A253" s="55">
        <f>IF('Run Plan'!A253="","",'Run Plan'!A253)</f>
        <v/>
      </c>
      <c r="B253" s="55">
        <f>IF(A253="","",'Run Plan'!C253)</f>
        <v/>
      </c>
      <c r="C253" s="55">
        <f>IF(A253="","",'Run Plan'!E253)</f>
        <v/>
      </c>
      <c r="D253" s="54">
        <f>IF(A253="","",'Run Plan'!G253)</f>
        <v/>
      </c>
      <c r="E253" s="47">
        <f>IF(A253="","",'Run Plan'!K253)</f>
        <v/>
      </c>
      <c r="F253" s="47">
        <f>IF(A253="","",'Run Plan'!J253)</f>
        <v/>
      </c>
      <c r="G253" s="56">
        <f>IF(A253="","",COUNTIF('Turn Log'!$B$5:$B$5000,A253))</f>
        <v/>
      </c>
      <c r="H253" s="56">
        <f>IF(A253="","",IFERROR(MINIFS('Turn Log'!$C$5:$C$5000,'Turn Log'!$B$5:$B$5000,A253,'Turn Log'!$Q$5:$Q$5000,"Pass"),""))</f>
        <v/>
      </c>
      <c r="I253" s="56">
        <f>IF(A253="","",IFERROR(MAXIFS('Turn Log'!$C$5:$C$5000,'Turn Log'!$B$5:$B$5000,A253),""))</f>
        <v/>
      </c>
      <c r="J253" s="56">
        <f>IF(A253="","",IFERROR(INDEX('Turn Log'!$Q$5:$Q$5000,MATCH(1,('Turn Log'!$B$5:$B$5000=A253)*('Turn Log'!$C$5:$C$5000=I253),0)),""))</f>
        <v/>
      </c>
      <c r="K253" s="56">
        <f>IF(A253="","",IFERROR(INDEX('Turn Log'!$R$5:$R$5000,MATCH(1,('Turn Log'!$B$5:$B$5000=A253)*('Turn Log'!$C$5:$C$5000=I253),0)),""))</f>
        <v/>
      </c>
      <c r="L253" s="56">
        <f>IF(A253="","",COUNTIFS('Turn Log'!$B$5:$B$5000,A253,'Turn Log'!$X$5:$X$5000,1))</f>
        <v/>
      </c>
      <c r="M253" s="56">
        <f>IF(A253="","",COUNTIFS('Turn Log'!$B$5:$B$5000,A253,'Turn Log'!$Y$5:$Y$5000,1))</f>
        <v/>
      </c>
      <c r="N253" s="56">
        <f>IF(A253="","",COUNTIFS('Turn Log'!$B$5:$B$5000,A253,'Turn Log'!$W$5:$W$5000,1))</f>
        <v/>
      </c>
      <c r="O253" s="56">
        <f>IF(H253="","No","Yes")</f>
        <v/>
      </c>
      <c r="P253" s="56">
        <f>IF(A253="","",COUNTIFS('Stability Checks'!$A$5:$A$2000,A253,'Stability Checks'!$C$5:$C$2000,"Re-execution",'Stability Checks'!$E$5:$E$2000,"Pass"))</f>
        <v/>
      </c>
      <c r="Q253" s="56">
        <f>IF(A253="","",COUNTIFS('Stability Checks'!$A$5:$A$2000,A253,'Stability Checks'!$C$5:$C$2000,"Re-prompt",'Stability Checks'!$E$5:$E$2000,"Pass"))</f>
        <v/>
      </c>
      <c r="R253" s="47">
        <f>IF(A253="","",'Run Plan'!Q253)</f>
        <v/>
      </c>
      <c r="S253" s="50" t="n"/>
    </row>
    <row r="254" ht="15.75" customHeight="1" s="40">
      <c r="A254" s="55">
        <f>IF('Run Plan'!A254="","",'Run Plan'!A254)</f>
        <v/>
      </c>
      <c r="B254" s="55">
        <f>IF(A254="","",'Run Plan'!C254)</f>
        <v/>
      </c>
      <c r="C254" s="55">
        <f>IF(A254="","",'Run Plan'!E254)</f>
        <v/>
      </c>
      <c r="D254" s="54">
        <f>IF(A254="","",'Run Plan'!G254)</f>
        <v/>
      </c>
      <c r="E254" s="47">
        <f>IF(A254="","",'Run Plan'!K254)</f>
        <v/>
      </c>
      <c r="F254" s="47">
        <f>IF(A254="","",'Run Plan'!J254)</f>
        <v/>
      </c>
      <c r="G254" s="56">
        <f>IF(A254="","",COUNTIF('Turn Log'!$B$5:$B$5000,A254))</f>
        <v/>
      </c>
      <c r="H254" s="56">
        <f>IF(A254="","",IFERROR(MINIFS('Turn Log'!$C$5:$C$5000,'Turn Log'!$B$5:$B$5000,A254,'Turn Log'!$Q$5:$Q$5000,"Pass"),""))</f>
        <v/>
      </c>
      <c r="I254" s="56">
        <f>IF(A254="","",IFERROR(MAXIFS('Turn Log'!$C$5:$C$5000,'Turn Log'!$B$5:$B$5000,A254),""))</f>
        <v/>
      </c>
      <c r="J254" s="56">
        <f>IF(A254="","",IFERROR(INDEX('Turn Log'!$Q$5:$Q$5000,MATCH(1,('Turn Log'!$B$5:$B$5000=A254)*('Turn Log'!$C$5:$C$5000=I254),0)),""))</f>
        <v/>
      </c>
      <c r="K254" s="56">
        <f>IF(A254="","",IFERROR(INDEX('Turn Log'!$R$5:$R$5000,MATCH(1,('Turn Log'!$B$5:$B$5000=A254)*('Turn Log'!$C$5:$C$5000=I254),0)),""))</f>
        <v/>
      </c>
      <c r="L254" s="56">
        <f>IF(A254="","",COUNTIFS('Turn Log'!$B$5:$B$5000,A254,'Turn Log'!$X$5:$X$5000,1))</f>
        <v/>
      </c>
      <c r="M254" s="56">
        <f>IF(A254="","",COUNTIFS('Turn Log'!$B$5:$B$5000,A254,'Turn Log'!$Y$5:$Y$5000,1))</f>
        <v/>
      </c>
      <c r="N254" s="56">
        <f>IF(A254="","",COUNTIFS('Turn Log'!$B$5:$B$5000,A254,'Turn Log'!$W$5:$W$5000,1))</f>
        <v/>
      </c>
      <c r="O254" s="56">
        <f>IF(H254="","No","Yes")</f>
        <v/>
      </c>
      <c r="P254" s="56">
        <f>IF(A254="","",COUNTIFS('Stability Checks'!$A$5:$A$2000,A254,'Stability Checks'!$C$5:$C$2000,"Re-execution",'Stability Checks'!$E$5:$E$2000,"Pass"))</f>
        <v/>
      </c>
      <c r="Q254" s="56">
        <f>IF(A254="","",COUNTIFS('Stability Checks'!$A$5:$A$2000,A254,'Stability Checks'!$C$5:$C$2000,"Re-prompt",'Stability Checks'!$E$5:$E$2000,"Pass"))</f>
        <v/>
      </c>
      <c r="R254" s="47">
        <f>IF(A254="","",'Run Plan'!Q254)</f>
        <v/>
      </c>
      <c r="S254" s="50" t="n"/>
    </row>
    <row r="255" ht="15.75" customHeight="1" s="40">
      <c r="A255" s="55">
        <f>IF('Run Plan'!A255="","",'Run Plan'!A255)</f>
        <v/>
      </c>
      <c r="B255" s="55">
        <f>IF(A255="","",'Run Plan'!C255)</f>
        <v/>
      </c>
      <c r="C255" s="55">
        <f>IF(A255="","",'Run Plan'!E255)</f>
        <v/>
      </c>
      <c r="D255" s="54">
        <f>IF(A255="","",'Run Plan'!G255)</f>
        <v/>
      </c>
      <c r="E255" s="47">
        <f>IF(A255="","",'Run Plan'!K255)</f>
        <v/>
      </c>
      <c r="F255" s="47">
        <f>IF(A255="","",'Run Plan'!J255)</f>
        <v/>
      </c>
      <c r="G255" s="56">
        <f>IF(A255="","",COUNTIF('Turn Log'!$B$5:$B$5000,A255))</f>
        <v/>
      </c>
      <c r="H255" s="56">
        <f>IF(A255="","",IFERROR(MINIFS('Turn Log'!$C$5:$C$5000,'Turn Log'!$B$5:$B$5000,A255,'Turn Log'!$Q$5:$Q$5000,"Pass"),""))</f>
        <v/>
      </c>
      <c r="I255" s="56">
        <f>IF(A255="","",IFERROR(MAXIFS('Turn Log'!$C$5:$C$5000,'Turn Log'!$B$5:$B$5000,A255),""))</f>
        <v/>
      </c>
      <c r="J255" s="56">
        <f>IF(A255="","",IFERROR(INDEX('Turn Log'!$Q$5:$Q$5000,MATCH(1,('Turn Log'!$B$5:$B$5000=A255)*('Turn Log'!$C$5:$C$5000=I255),0)),""))</f>
        <v/>
      </c>
      <c r="K255" s="56">
        <f>IF(A255="","",IFERROR(INDEX('Turn Log'!$R$5:$R$5000,MATCH(1,('Turn Log'!$B$5:$B$5000=A255)*('Turn Log'!$C$5:$C$5000=I255),0)),""))</f>
        <v/>
      </c>
      <c r="L255" s="56">
        <f>IF(A255="","",COUNTIFS('Turn Log'!$B$5:$B$5000,A255,'Turn Log'!$X$5:$X$5000,1))</f>
        <v/>
      </c>
      <c r="M255" s="56">
        <f>IF(A255="","",COUNTIFS('Turn Log'!$B$5:$B$5000,A255,'Turn Log'!$Y$5:$Y$5000,1))</f>
        <v/>
      </c>
      <c r="N255" s="56">
        <f>IF(A255="","",COUNTIFS('Turn Log'!$B$5:$B$5000,A255,'Turn Log'!$W$5:$W$5000,1))</f>
        <v/>
      </c>
      <c r="O255" s="56">
        <f>IF(H255="","No","Yes")</f>
        <v/>
      </c>
      <c r="P255" s="56">
        <f>IF(A255="","",COUNTIFS('Stability Checks'!$A$5:$A$2000,A255,'Stability Checks'!$C$5:$C$2000,"Re-execution",'Stability Checks'!$E$5:$E$2000,"Pass"))</f>
        <v/>
      </c>
      <c r="Q255" s="56">
        <f>IF(A255="","",COUNTIFS('Stability Checks'!$A$5:$A$2000,A255,'Stability Checks'!$C$5:$C$2000,"Re-prompt",'Stability Checks'!$E$5:$E$2000,"Pass"))</f>
        <v/>
      </c>
      <c r="R255" s="47">
        <f>IF(A255="","",'Run Plan'!Q255)</f>
        <v/>
      </c>
      <c r="S255" s="50" t="n"/>
    </row>
    <row r="256" ht="15.75" customHeight="1" s="40">
      <c r="A256" s="55">
        <f>IF('Run Plan'!A256="","",'Run Plan'!A256)</f>
        <v/>
      </c>
      <c r="B256" s="55">
        <f>IF(A256="","",'Run Plan'!C256)</f>
        <v/>
      </c>
      <c r="C256" s="55">
        <f>IF(A256="","",'Run Plan'!E256)</f>
        <v/>
      </c>
      <c r="D256" s="54">
        <f>IF(A256="","",'Run Plan'!G256)</f>
        <v/>
      </c>
      <c r="E256" s="47">
        <f>IF(A256="","",'Run Plan'!K256)</f>
        <v/>
      </c>
      <c r="F256" s="47">
        <f>IF(A256="","",'Run Plan'!J256)</f>
        <v/>
      </c>
      <c r="G256" s="56">
        <f>IF(A256="","",COUNTIF('Turn Log'!$B$5:$B$5000,A256))</f>
        <v/>
      </c>
      <c r="H256" s="56">
        <f>IF(A256="","",IFERROR(MINIFS('Turn Log'!$C$5:$C$5000,'Turn Log'!$B$5:$B$5000,A256,'Turn Log'!$Q$5:$Q$5000,"Pass"),""))</f>
        <v/>
      </c>
      <c r="I256" s="56">
        <f>IF(A256="","",IFERROR(MAXIFS('Turn Log'!$C$5:$C$5000,'Turn Log'!$B$5:$B$5000,A256),""))</f>
        <v/>
      </c>
      <c r="J256" s="56">
        <f>IF(A256="","",IFERROR(INDEX('Turn Log'!$Q$5:$Q$5000,MATCH(1,('Turn Log'!$B$5:$B$5000=A256)*('Turn Log'!$C$5:$C$5000=I256),0)),""))</f>
        <v/>
      </c>
      <c r="K256" s="56">
        <f>IF(A256="","",IFERROR(INDEX('Turn Log'!$R$5:$R$5000,MATCH(1,('Turn Log'!$B$5:$B$5000=A256)*('Turn Log'!$C$5:$C$5000=I256),0)),""))</f>
        <v/>
      </c>
      <c r="L256" s="56">
        <f>IF(A256="","",COUNTIFS('Turn Log'!$B$5:$B$5000,A256,'Turn Log'!$X$5:$X$5000,1))</f>
        <v/>
      </c>
      <c r="M256" s="56">
        <f>IF(A256="","",COUNTIFS('Turn Log'!$B$5:$B$5000,A256,'Turn Log'!$Y$5:$Y$5000,1))</f>
        <v/>
      </c>
      <c r="N256" s="56">
        <f>IF(A256="","",COUNTIFS('Turn Log'!$B$5:$B$5000,A256,'Turn Log'!$W$5:$W$5000,1))</f>
        <v/>
      </c>
      <c r="O256" s="56">
        <f>IF(H256="","No","Yes")</f>
        <v/>
      </c>
      <c r="P256" s="56">
        <f>IF(A256="","",COUNTIFS('Stability Checks'!$A$5:$A$2000,A256,'Stability Checks'!$C$5:$C$2000,"Re-execution",'Stability Checks'!$E$5:$E$2000,"Pass"))</f>
        <v/>
      </c>
      <c r="Q256" s="56">
        <f>IF(A256="","",COUNTIFS('Stability Checks'!$A$5:$A$2000,A256,'Stability Checks'!$C$5:$C$2000,"Re-prompt",'Stability Checks'!$E$5:$E$2000,"Pass"))</f>
        <v/>
      </c>
      <c r="R256" s="47">
        <f>IF(A256="","",'Run Plan'!Q256)</f>
        <v/>
      </c>
      <c r="S256" s="50" t="n"/>
    </row>
    <row r="257" ht="15.75" customHeight="1" s="40">
      <c r="A257" s="55">
        <f>IF('Run Plan'!A257="","",'Run Plan'!A257)</f>
        <v/>
      </c>
      <c r="B257" s="55">
        <f>IF(A257="","",'Run Plan'!C257)</f>
        <v/>
      </c>
      <c r="C257" s="55">
        <f>IF(A257="","",'Run Plan'!E257)</f>
        <v/>
      </c>
      <c r="D257" s="54">
        <f>IF(A257="","",'Run Plan'!G257)</f>
        <v/>
      </c>
      <c r="E257" s="47">
        <f>IF(A257="","",'Run Plan'!K257)</f>
        <v/>
      </c>
      <c r="F257" s="47">
        <f>IF(A257="","",'Run Plan'!J257)</f>
        <v/>
      </c>
      <c r="G257" s="56">
        <f>IF(A257="","",COUNTIF('Turn Log'!$B$5:$B$5000,A257))</f>
        <v/>
      </c>
      <c r="H257" s="56">
        <f>IF(A257="","",IFERROR(MINIFS('Turn Log'!$C$5:$C$5000,'Turn Log'!$B$5:$B$5000,A257,'Turn Log'!$Q$5:$Q$5000,"Pass"),""))</f>
        <v/>
      </c>
      <c r="I257" s="56">
        <f>IF(A257="","",IFERROR(MAXIFS('Turn Log'!$C$5:$C$5000,'Turn Log'!$B$5:$B$5000,A257),""))</f>
        <v/>
      </c>
      <c r="J257" s="56">
        <f>IF(A257="","",IFERROR(INDEX('Turn Log'!$Q$5:$Q$5000,MATCH(1,('Turn Log'!$B$5:$B$5000=A257)*('Turn Log'!$C$5:$C$5000=I257),0)),""))</f>
        <v/>
      </c>
      <c r="K257" s="56">
        <f>IF(A257="","",IFERROR(INDEX('Turn Log'!$R$5:$R$5000,MATCH(1,('Turn Log'!$B$5:$B$5000=A257)*('Turn Log'!$C$5:$C$5000=I257),0)),""))</f>
        <v/>
      </c>
      <c r="L257" s="56">
        <f>IF(A257="","",COUNTIFS('Turn Log'!$B$5:$B$5000,A257,'Turn Log'!$X$5:$X$5000,1))</f>
        <v/>
      </c>
      <c r="M257" s="56">
        <f>IF(A257="","",COUNTIFS('Turn Log'!$B$5:$B$5000,A257,'Turn Log'!$Y$5:$Y$5000,1))</f>
        <v/>
      </c>
      <c r="N257" s="56">
        <f>IF(A257="","",COUNTIFS('Turn Log'!$B$5:$B$5000,A257,'Turn Log'!$W$5:$W$5000,1))</f>
        <v/>
      </c>
      <c r="O257" s="56">
        <f>IF(H257="","No","Yes")</f>
        <v/>
      </c>
      <c r="P257" s="56">
        <f>IF(A257="","",COUNTIFS('Stability Checks'!$A$5:$A$2000,A257,'Stability Checks'!$C$5:$C$2000,"Re-execution",'Stability Checks'!$E$5:$E$2000,"Pass"))</f>
        <v/>
      </c>
      <c r="Q257" s="56">
        <f>IF(A257="","",COUNTIFS('Stability Checks'!$A$5:$A$2000,A257,'Stability Checks'!$C$5:$C$2000,"Re-prompt",'Stability Checks'!$E$5:$E$2000,"Pass"))</f>
        <v/>
      </c>
      <c r="R257" s="47">
        <f>IF(A257="","",'Run Plan'!Q257)</f>
        <v/>
      </c>
      <c r="S257" s="50" t="n"/>
    </row>
    <row r="258" ht="15.75" customHeight="1" s="40">
      <c r="A258" s="55">
        <f>IF('Run Plan'!A258="","",'Run Plan'!A258)</f>
        <v/>
      </c>
      <c r="B258" s="55">
        <f>IF(A258="","",'Run Plan'!C258)</f>
        <v/>
      </c>
      <c r="C258" s="55">
        <f>IF(A258="","",'Run Plan'!E258)</f>
        <v/>
      </c>
      <c r="D258" s="54">
        <f>IF(A258="","",'Run Plan'!G258)</f>
        <v/>
      </c>
      <c r="E258" s="47">
        <f>IF(A258="","",'Run Plan'!K258)</f>
        <v/>
      </c>
      <c r="F258" s="47">
        <f>IF(A258="","",'Run Plan'!J258)</f>
        <v/>
      </c>
      <c r="G258" s="56">
        <f>IF(A258="","",COUNTIF('Turn Log'!$B$5:$B$5000,A258))</f>
        <v/>
      </c>
      <c r="H258" s="56">
        <f>IF(A258="","",IFERROR(MINIFS('Turn Log'!$C$5:$C$5000,'Turn Log'!$B$5:$B$5000,A258,'Turn Log'!$Q$5:$Q$5000,"Pass"),""))</f>
        <v/>
      </c>
      <c r="I258" s="56">
        <f>IF(A258="","",IFERROR(MAXIFS('Turn Log'!$C$5:$C$5000,'Turn Log'!$B$5:$B$5000,A258),""))</f>
        <v/>
      </c>
      <c r="J258" s="56">
        <f>IF(A258="","",IFERROR(INDEX('Turn Log'!$Q$5:$Q$5000,MATCH(1,('Turn Log'!$B$5:$B$5000=A258)*('Turn Log'!$C$5:$C$5000=I258),0)),""))</f>
        <v/>
      </c>
      <c r="K258" s="56">
        <f>IF(A258="","",IFERROR(INDEX('Turn Log'!$R$5:$R$5000,MATCH(1,('Turn Log'!$B$5:$B$5000=A258)*('Turn Log'!$C$5:$C$5000=I258),0)),""))</f>
        <v/>
      </c>
      <c r="L258" s="56">
        <f>IF(A258="","",COUNTIFS('Turn Log'!$B$5:$B$5000,A258,'Turn Log'!$X$5:$X$5000,1))</f>
        <v/>
      </c>
      <c r="M258" s="56">
        <f>IF(A258="","",COUNTIFS('Turn Log'!$B$5:$B$5000,A258,'Turn Log'!$Y$5:$Y$5000,1))</f>
        <v/>
      </c>
      <c r="N258" s="56">
        <f>IF(A258="","",COUNTIFS('Turn Log'!$B$5:$B$5000,A258,'Turn Log'!$W$5:$W$5000,1))</f>
        <v/>
      </c>
      <c r="O258" s="56">
        <f>IF(H258="","No","Yes")</f>
        <v/>
      </c>
      <c r="P258" s="56">
        <f>IF(A258="","",COUNTIFS('Stability Checks'!$A$5:$A$2000,A258,'Stability Checks'!$C$5:$C$2000,"Re-execution",'Stability Checks'!$E$5:$E$2000,"Pass"))</f>
        <v/>
      </c>
      <c r="Q258" s="56">
        <f>IF(A258="","",COUNTIFS('Stability Checks'!$A$5:$A$2000,A258,'Stability Checks'!$C$5:$C$2000,"Re-prompt",'Stability Checks'!$E$5:$E$2000,"Pass"))</f>
        <v/>
      </c>
      <c r="R258" s="47">
        <f>IF(A258="","",'Run Plan'!Q258)</f>
        <v/>
      </c>
      <c r="S258" s="50" t="n"/>
    </row>
    <row r="259" ht="15.75" customHeight="1" s="40">
      <c r="A259" s="55">
        <f>IF('Run Plan'!A259="","",'Run Plan'!A259)</f>
        <v/>
      </c>
      <c r="B259" s="55">
        <f>IF(A259="","",'Run Plan'!C259)</f>
        <v/>
      </c>
      <c r="C259" s="55">
        <f>IF(A259="","",'Run Plan'!E259)</f>
        <v/>
      </c>
      <c r="D259" s="54">
        <f>IF(A259="","",'Run Plan'!G259)</f>
        <v/>
      </c>
      <c r="E259" s="47">
        <f>IF(A259="","",'Run Plan'!K259)</f>
        <v/>
      </c>
      <c r="F259" s="47">
        <f>IF(A259="","",'Run Plan'!J259)</f>
        <v/>
      </c>
      <c r="G259" s="56">
        <f>IF(A259="","",COUNTIF('Turn Log'!$B$5:$B$5000,A259))</f>
        <v/>
      </c>
      <c r="H259" s="56">
        <f>IF(A259="","",IFERROR(MINIFS('Turn Log'!$C$5:$C$5000,'Turn Log'!$B$5:$B$5000,A259,'Turn Log'!$Q$5:$Q$5000,"Pass"),""))</f>
        <v/>
      </c>
      <c r="I259" s="56">
        <f>IF(A259="","",IFERROR(MAXIFS('Turn Log'!$C$5:$C$5000,'Turn Log'!$B$5:$B$5000,A259),""))</f>
        <v/>
      </c>
      <c r="J259" s="56">
        <f>IF(A259="","",IFERROR(INDEX('Turn Log'!$Q$5:$Q$5000,MATCH(1,('Turn Log'!$B$5:$B$5000=A259)*('Turn Log'!$C$5:$C$5000=I259),0)),""))</f>
        <v/>
      </c>
      <c r="K259" s="56">
        <f>IF(A259="","",IFERROR(INDEX('Turn Log'!$R$5:$R$5000,MATCH(1,('Turn Log'!$B$5:$B$5000=A259)*('Turn Log'!$C$5:$C$5000=I259),0)),""))</f>
        <v/>
      </c>
      <c r="L259" s="56">
        <f>IF(A259="","",COUNTIFS('Turn Log'!$B$5:$B$5000,A259,'Turn Log'!$X$5:$X$5000,1))</f>
        <v/>
      </c>
      <c r="M259" s="56">
        <f>IF(A259="","",COUNTIFS('Turn Log'!$B$5:$B$5000,A259,'Turn Log'!$Y$5:$Y$5000,1))</f>
        <v/>
      </c>
      <c r="N259" s="56">
        <f>IF(A259="","",COUNTIFS('Turn Log'!$B$5:$B$5000,A259,'Turn Log'!$W$5:$W$5000,1))</f>
        <v/>
      </c>
      <c r="O259" s="56">
        <f>IF(H259="","No","Yes")</f>
        <v/>
      </c>
      <c r="P259" s="56">
        <f>IF(A259="","",COUNTIFS('Stability Checks'!$A$5:$A$2000,A259,'Stability Checks'!$C$5:$C$2000,"Re-execution",'Stability Checks'!$E$5:$E$2000,"Pass"))</f>
        <v/>
      </c>
      <c r="Q259" s="56">
        <f>IF(A259="","",COUNTIFS('Stability Checks'!$A$5:$A$2000,A259,'Stability Checks'!$C$5:$C$2000,"Re-prompt",'Stability Checks'!$E$5:$E$2000,"Pass"))</f>
        <v/>
      </c>
      <c r="R259" s="47">
        <f>IF(A259="","",'Run Plan'!Q259)</f>
        <v/>
      </c>
      <c r="S259" s="50" t="n"/>
    </row>
    <row r="260" ht="15.75" customHeight="1" s="40">
      <c r="A260" s="55">
        <f>IF('Run Plan'!A260="","",'Run Plan'!A260)</f>
        <v/>
      </c>
      <c r="B260" s="55">
        <f>IF(A260="","",'Run Plan'!C260)</f>
        <v/>
      </c>
      <c r="C260" s="55">
        <f>IF(A260="","",'Run Plan'!E260)</f>
        <v/>
      </c>
      <c r="D260" s="54">
        <f>IF(A260="","",'Run Plan'!G260)</f>
        <v/>
      </c>
      <c r="E260" s="47">
        <f>IF(A260="","",'Run Plan'!K260)</f>
        <v/>
      </c>
      <c r="F260" s="47">
        <f>IF(A260="","",'Run Plan'!J260)</f>
        <v/>
      </c>
      <c r="G260" s="56">
        <f>IF(A260="","",COUNTIF('Turn Log'!$B$5:$B$5000,A260))</f>
        <v/>
      </c>
      <c r="H260" s="56">
        <f>IF(A260="","",IFERROR(MINIFS('Turn Log'!$C$5:$C$5000,'Turn Log'!$B$5:$B$5000,A260,'Turn Log'!$Q$5:$Q$5000,"Pass"),""))</f>
        <v/>
      </c>
      <c r="I260" s="56">
        <f>IF(A260="","",IFERROR(MAXIFS('Turn Log'!$C$5:$C$5000,'Turn Log'!$B$5:$B$5000,A260),""))</f>
        <v/>
      </c>
      <c r="J260" s="56">
        <f>IF(A260="","",IFERROR(INDEX('Turn Log'!$Q$5:$Q$5000,MATCH(1,('Turn Log'!$B$5:$B$5000=A260)*('Turn Log'!$C$5:$C$5000=I260),0)),""))</f>
        <v/>
      </c>
      <c r="K260" s="56">
        <f>IF(A260="","",IFERROR(INDEX('Turn Log'!$R$5:$R$5000,MATCH(1,('Turn Log'!$B$5:$B$5000=A260)*('Turn Log'!$C$5:$C$5000=I260),0)),""))</f>
        <v/>
      </c>
      <c r="L260" s="56">
        <f>IF(A260="","",COUNTIFS('Turn Log'!$B$5:$B$5000,A260,'Turn Log'!$X$5:$X$5000,1))</f>
        <v/>
      </c>
      <c r="M260" s="56">
        <f>IF(A260="","",COUNTIFS('Turn Log'!$B$5:$B$5000,A260,'Turn Log'!$Y$5:$Y$5000,1))</f>
        <v/>
      </c>
      <c r="N260" s="56">
        <f>IF(A260="","",COUNTIFS('Turn Log'!$B$5:$B$5000,A260,'Turn Log'!$W$5:$W$5000,1))</f>
        <v/>
      </c>
      <c r="O260" s="56">
        <f>IF(H260="","No","Yes")</f>
        <v/>
      </c>
      <c r="P260" s="56">
        <f>IF(A260="","",COUNTIFS('Stability Checks'!$A$5:$A$2000,A260,'Stability Checks'!$C$5:$C$2000,"Re-execution",'Stability Checks'!$E$5:$E$2000,"Pass"))</f>
        <v/>
      </c>
      <c r="Q260" s="56">
        <f>IF(A260="","",COUNTIFS('Stability Checks'!$A$5:$A$2000,A260,'Stability Checks'!$C$5:$C$2000,"Re-prompt",'Stability Checks'!$E$5:$E$2000,"Pass"))</f>
        <v/>
      </c>
      <c r="R260" s="47">
        <f>IF(A260="","",'Run Plan'!Q260)</f>
        <v/>
      </c>
      <c r="S260" s="50" t="n"/>
    </row>
    <row r="261" ht="15.75" customHeight="1" s="40">
      <c r="A261" s="55">
        <f>IF('Run Plan'!A261="","",'Run Plan'!A261)</f>
        <v/>
      </c>
      <c r="B261" s="55">
        <f>IF(A261="","",'Run Plan'!C261)</f>
        <v/>
      </c>
      <c r="C261" s="55">
        <f>IF(A261="","",'Run Plan'!E261)</f>
        <v/>
      </c>
      <c r="D261" s="54">
        <f>IF(A261="","",'Run Plan'!G261)</f>
        <v/>
      </c>
      <c r="E261" s="47">
        <f>IF(A261="","",'Run Plan'!K261)</f>
        <v/>
      </c>
      <c r="F261" s="47">
        <f>IF(A261="","",'Run Plan'!J261)</f>
        <v/>
      </c>
      <c r="G261" s="56">
        <f>IF(A261="","",COUNTIF('Turn Log'!$B$5:$B$5000,A261))</f>
        <v/>
      </c>
      <c r="H261" s="56">
        <f>IF(A261="","",IFERROR(MINIFS('Turn Log'!$C$5:$C$5000,'Turn Log'!$B$5:$B$5000,A261,'Turn Log'!$Q$5:$Q$5000,"Pass"),""))</f>
        <v/>
      </c>
      <c r="I261" s="56">
        <f>IF(A261="","",IFERROR(MAXIFS('Turn Log'!$C$5:$C$5000,'Turn Log'!$B$5:$B$5000,A261),""))</f>
        <v/>
      </c>
      <c r="J261" s="56">
        <f>IF(A261="","",IFERROR(INDEX('Turn Log'!$Q$5:$Q$5000,MATCH(1,('Turn Log'!$B$5:$B$5000=A261)*('Turn Log'!$C$5:$C$5000=I261),0)),""))</f>
        <v/>
      </c>
      <c r="K261" s="56">
        <f>IF(A261="","",IFERROR(INDEX('Turn Log'!$R$5:$R$5000,MATCH(1,('Turn Log'!$B$5:$B$5000=A261)*('Turn Log'!$C$5:$C$5000=I261),0)),""))</f>
        <v/>
      </c>
      <c r="L261" s="56">
        <f>IF(A261="","",COUNTIFS('Turn Log'!$B$5:$B$5000,A261,'Turn Log'!$X$5:$X$5000,1))</f>
        <v/>
      </c>
      <c r="M261" s="56">
        <f>IF(A261="","",COUNTIFS('Turn Log'!$B$5:$B$5000,A261,'Turn Log'!$Y$5:$Y$5000,1))</f>
        <v/>
      </c>
      <c r="N261" s="56">
        <f>IF(A261="","",COUNTIFS('Turn Log'!$B$5:$B$5000,A261,'Turn Log'!$W$5:$W$5000,1))</f>
        <v/>
      </c>
      <c r="O261" s="56">
        <f>IF(H261="","No","Yes")</f>
        <v/>
      </c>
      <c r="P261" s="56">
        <f>IF(A261="","",COUNTIFS('Stability Checks'!$A$5:$A$2000,A261,'Stability Checks'!$C$5:$C$2000,"Re-execution",'Stability Checks'!$E$5:$E$2000,"Pass"))</f>
        <v/>
      </c>
      <c r="Q261" s="56">
        <f>IF(A261="","",COUNTIFS('Stability Checks'!$A$5:$A$2000,A261,'Stability Checks'!$C$5:$C$2000,"Re-prompt",'Stability Checks'!$E$5:$E$2000,"Pass"))</f>
        <v/>
      </c>
      <c r="R261" s="47">
        <f>IF(A261="","",'Run Plan'!Q261)</f>
        <v/>
      </c>
      <c r="S261" s="50" t="n"/>
    </row>
    <row r="262" ht="15.75" customHeight="1" s="40">
      <c r="A262" s="55">
        <f>IF('Run Plan'!A262="","",'Run Plan'!A262)</f>
        <v/>
      </c>
      <c r="B262" s="55">
        <f>IF(A262="","",'Run Plan'!C262)</f>
        <v/>
      </c>
      <c r="C262" s="55">
        <f>IF(A262="","",'Run Plan'!E262)</f>
        <v/>
      </c>
      <c r="D262" s="54">
        <f>IF(A262="","",'Run Plan'!G262)</f>
        <v/>
      </c>
      <c r="E262" s="47">
        <f>IF(A262="","",'Run Plan'!K262)</f>
        <v/>
      </c>
      <c r="F262" s="47">
        <f>IF(A262="","",'Run Plan'!J262)</f>
        <v/>
      </c>
      <c r="G262" s="56">
        <f>IF(A262="","",COUNTIF('Turn Log'!$B$5:$B$5000,A262))</f>
        <v/>
      </c>
      <c r="H262" s="56">
        <f>IF(A262="","",IFERROR(MINIFS('Turn Log'!$C$5:$C$5000,'Turn Log'!$B$5:$B$5000,A262,'Turn Log'!$Q$5:$Q$5000,"Pass"),""))</f>
        <v/>
      </c>
      <c r="I262" s="56">
        <f>IF(A262="","",IFERROR(MAXIFS('Turn Log'!$C$5:$C$5000,'Turn Log'!$B$5:$B$5000,A262),""))</f>
        <v/>
      </c>
      <c r="J262" s="56">
        <f>IF(A262="","",IFERROR(INDEX('Turn Log'!$Q$5:$Q$5000,MATCH(1,('Turn Log'!$B$5:$B$5000=A262)*('Turn Log'!$C$5:$C$5000=I262),0)),""))</f>
        <v/>
      </c>
      <c r="K262" s="56">
        <f>IF(A262="","",IFERROR(INDEX('Turn Log'!$R$5:$R$5000,MATCH(1,('Turn Log'!$B$5:$B$5000=A262)*('Turn Log'!$C$5:$C$5000=I262),0)),""))</f>
        <v/>
      </c>
      <c r="L262" s="56">
        <f>IF(A262="","",COUNTIFS('Turn Log'!$B$5:$B$5000,A262,'Turn Log'!$X$5:$X$5000,1))</f>
        <v/>
      </c>
      <c r="M262" s="56">
        <f>IF(A262="","",COUNTIFS('Turn Log'!$B$5:$B$5000,A262,'Turn Log'!$Y$5:$Y$5000,1))</f>
        <v/>
      </c>
      <c r="N262" s="56">
        <f>IF(A262="","",COUNTIFS('Turn Log'!$B$5:$B$5000,A262,'Turn Log'!$W$5:$W$5000,1))</f>
        <v/>
      </c>
      <c r="O262" s="56">
        <f>IF(H262="","No","Yes")</f>
        <v/>
      </c>
      <c r="P262" s="56">
        <f>IF(A262="","",COUNTIFS('Stability Checks'!$A$5:$A$2000,A262,'Stability Checks'!$C$5:$C$2000,"Re-execution",'Stability Checks'!$E$5:$E$2000,"Pass"))</f>
        <v/>
      </c>
      <c r="Q262" s="56">
        <f>IF(A262="","",COUNTIFS('Stability Checks'!$A$5:$A$2000,A262,'Stability Checks'!$C$5:$C$2000,"Re-prompt",'Stability Checks'!$E$5:$E$2000,"Pass"))</f>
        <v/>
      </c>
      <c r="R262" s="47">
        <f>IF(A262="","",'Run Plan'!Q262)</f>
        <v/>
      </c>
      <c r="S262" s="50" t="n"/>
    </row>
    <row r="263" ht="15.75" customHeight="1" s="40">
      <c r="A263" s="55">
        <f>IF('Run Plan'!A263="","",'Run Plan'!A263)</f>
        <v/>
      </c>
      <c r="B263" s="55">
        <f>IF(A263="","",'Run Plan'!C263)</f>
        <v/>
      </c>
      <c r="C263" s="55">
        <f>IF(A263="","",'Run Plan'!E263)</f>
        <v/>
      </c>
      <c r="D263" s="54">
        <f>IF(A263="","",'Run Plan'!G263)</f>
        <v/>
      </c>
      <c r="E263" s="47">
        <f>IF(A263="","",'Run Plan'!K263)</f>
        <v/>
      </c>
      <c r="F263" s="47">
        <f>IF(A263="","",'Run Plan'!J263)</f>
        <v/>
      </c>
      <c r="G263" s="56">
        <f>IF(A263="","",COUNTIF('Turn Log'!$B$5:$B$5000,A263))</f>
        <v/>
      </c>
      <c r="H263" s="56">
        <f>IF(A263="","",IFERROR(MINIFS('Turn Log'!$C$5:$C$5000,'Turn Log'!$B$5:$B$5000,A263,'Turn Log'!$Q$5:$Q$5000,"Pass"),""))</f>
        <v/>
      </c>
      <c r="I263" s="56">
        <f>IF(A263="","",IFERROR(MAXIFS('Turn Log'!$C$5:$C$5000,'Turn Log'!$B$5:$B$5000,A263),""))</f>
        <v/>
      </c>
      <c r="J263" s="56">
        <f>IF(A263="","",IFERROR(INDEX('Turn Log'!$Q$5:$Q$5000,MATCH(1,('Turn Log'!$B$5:$B$5000=A263)*('Turn Log'!$C$5:$C$5000=I263),0)),""))</f>
        <v/>
      </c>
      <c r="K263" s="56">
        <f>IF(A263="","",IFERROR(INDEX('Turn Log'!$R$5:$R$5000,MATCH(1,('Turn Log'!$B$5:$B$5000=A263)*('Turn Log'!$C$5:$C$5000=I263),0)),""))</f>
        <v/>
      </c>
      <c r="L263" s="56">
        <f>IF(A263="","",COUNTIFS('Turn Log'!$B$5:$B$5000,A263,'Turn Log'!$X$5:$X$5000,1))</f>
        <v/>
      </c>
      <c r="M263" s="56">
        <f>IF(A263="","",COUNTIFS('Turn Log'!$B$5:$B$5000,A263,'Turn Log'!$Y$5:$Y$5000,1))</f>
        <v/>
      </c>
      <c r="N263" s="56">
        <f>IF(A263="","",COUNTIFS('Turn Log'!$B$5:$B$5000,A263,'Turn Log'!$W$5:$W$5000,1))</f>
        <v/>
      </c>
      <c r="O263" s="56">
        <f>IF(H263="","No","Yes")</f>
        <v/>
      </c>
      <c r="P263" s="56">
        <f>IF(A263="","",COUNTIFS('Stability Checks'!$A$5:$A$2000,A263,'Stability Checks'!$C$5:$C$2000,"Re-execution",'Stability Checks'!$E$5:$E$2000,"Pass"))</f>
        <v/>
      </c>
      <c r="Q263" s="56">
        <f>IF(A263="","",COUNTIFS('Stability Checks'!$A$5:$A$2000,A263,'Stability Checks'!$C$5:$C$2000,"Re-prompt",'Stability Checks'!$E$5:$E$2000,"Pass"))</f>
        <v/>
      </c>
      <c r="R263" s="47">
        <f>IF(A263="","",'Run Plan'!Q263)</f>
        <v/>
      </c>
      <c r="S263" s="50" t="n"/>
    </row>
    <row r="264" ht="15.75" customHeight="1" s="40">
      <c r="A264" s="55">
        <f>IF('Run Plan'!A264="","",'Run Plan'!A264)</f>
        <v/>
      </c>
      <c r="B264" s="55">
        <f>IF(A264="","",'Run Plan'!C264)</f>
        <v/>
      </c>
      <c r="C264" s="55">
        <f>IF(A264="","",'Run Plan'!E264)</f>
        <v/>
      </c>
      <c r="D264" s="54">
        <f>IF(A264="","",'Run Plan'!G264)</f>
        <v/>
      </c>
      <c r="E264" s="47">
        <f>IF(A264="","",'Run Plan'!K264)</f>
        <v/>
      </c>
      <c r="F264" s="47">
        <f>IF(A264="","",'Run Plan'!J264)</f>
        <v/>
      </c>
      <c r="G264" s="56">
        <f>IF(A264="","",COUNTIF('Turn Log'!$B$5:$B$5000,A264))</f>
        <v/>
      </c>
      <c r="H264" s="56">
        <f>IF(A264="","",IFERROR(MINIFS('Turn Log'!$C$5:$C$5000,'Turn Log'!$B$5:$B$5000,A264,'Turn Log'!$Q$5:$Q$5000,"Pass"),""))</f>
        <v/>
      </c>
      <c r="I264" s="56">
        <f>IF(A264="","",IFERROR(MAXIFS('Turn Log'!$C$5:$C$5000,'Turn Log'!$B$5:$B$5000,A264),""))</f>
        <v/>
      </c>
      <c r="J264" s="56">
        <f>IF(A264="","",IFERROR(INDEX('Turn Log'!$Q$5:$Q$5000,MATCH(1,('Turn Log'!$B$5:$B$5000=A264)*('Turn Log'!$C$5:$C$5000=I264),0)),""))</f>
        <v/>
      </c>
      <c r="K264" s="56">
        <f>IF(A264="","",IFERROR(INDEX('Turn Log'!$R$5:$R$5000,MATCH(1,('Turn Log'!$B$5:$B$5000=A264)*('Turn Log'!$C$5:$C$5000=I264),0)),""))</f>
        <v/>
      </c>
      <c r="L264" s="56">
        <f>IF(A264="","",COUNTIFS('Turn Log'!$B$5:$B$5000,A264,'Turn Log'!$X$5:$X$5000,1))</f>
        <v/>
      </c>
      <c r="M264" s="56">
        <f>IF(A264="","",COUNTIFS('Turn Log'!$B$5:$B$5000,A264,'Turn Log'!$Y$5:$Y$5000,1))</f>
        <v/>
      </c>
      <c r="N264" s="56">
        <f>IF(A264="","",COUNTIFS('Turn Log'!$B$5:$B$5000,A264,'Turn Log'!$W$5:$W$5000,1))</f>
        <v/>
      </c>
      <c r="O264" s="56">
        <f>IF(H264="","No","Yes")</f>
        <v/>
      </c>
      <c r="P264" s="56">
        <f>IF(A264="","",COUNTIFS('Stability Checks'!$A$5:$A$2000,A264,'Stability Checks'!$C$5:$C$2000,"Re-execution",'Stability Checks'!$E$5:$E$2000,"Pass"))</f>
        <v/>
      </c>
      <c r="Q264" s="56">
        <f>IF(A264="","",COUNTIFS('Stability Checks'!$A$5:$A$2000,A264,'Stability Checks'!$C$5:$C$2000,"Re-prompt",'Stability Checks'!$E$5:$E$2000,"Pass"))</f>
        <v/>
      </c>
      <c r="R264" s="47">
        <f>IF(A264="","",'Run Plan'!Q264)</f>
        <v/>
      </c>
      <c r="S264" s="50" t="n"/>
    </row>
    <row r="265" ht="15.75" customHeight="1" s="40">
      <c r="A265" s="55">
        <f>IF('Run Plan'!A265="","",'Run Plan'!A265)</f>
        <v/>
      </c>
      <c r="B265" s="55">
        <f>IF(A265="","",'Run Plan'!C265)</f>
        <v/>
      </c>
      <c r="C265" s="55">
        <f>IF(A265="","",'Run Plan'!E265)</f>
        <v/>
      </c>
      <c r="D265" s="54">
        <f>IF(A265="","",'Run Plan'!G265)</f>
        <v/>
      </c>
      <c r="E265" s="47">
        <f>IF(A265="","",'Run Plan'!K265)</f>
        <v/>
      </c>
      <c r="F265" s="47">
        <f>IF(A265="","",'Run Plan'!J265)</f>
        <v/>
      </c>
      <c r="G265" s="56">
        <f>IF(A265="","",COUNTIF('Turn Log'!$B$5:$B$5000,A265))</f>
        <v/>
      </c>
      <c r="H265" s="56">
        <f>IF(A265="","",IFERROR(MINIFS('Turn Log'!$C$5:$C$5000,'Turn Log'!$B$5:$B$5000,A265,'Turn Log'!$Q$5:$Q$5000,"Pass"),""))</f>
        <v/>
      </c>
      <c r="I265" s="56">
        <f>IF(A265="","",IFERROR(MAXIFS('Turn Log'!$C$5:$C$5000,'Turn Log'!$B$5:$B$5000,A265),""))</f>
        <v/>
      </c>
      <c r="J265" s="56">
        <f>IF(A265="","",IFERROR(INDEX('Turn Log'!$Q$5:$Q$5000,MATCH(1,('Turn Log'!$B$5:$B$5000=A265)*('Turn Log'!$C$5:$C$5000=I265),0)),""))</f>
        <v/>
      </c>
      <c r="K265" s="56">
        <f>IF(A265="","",IFERROR(INDEX('Turn Log'!$R$5:$R$5000,MATCH(1,('Turn Log'!$B$5:$B$5000=A265)*('Turn Log'!$C$5:$C$5000=I265),0)),""))</f>
        <v/>
      </c>
      <c r="L265" s="56">
        <f>IF(A265="","",COUNTIFS('Turn Log'!$B$5:$B$5000,A265,'Turn Log'!$X$5:$X$5000,1))</f>
        <v/>
      </c>
      <c r="M265" s="56">
        <f>IF(A265="","",COUNTIFS('Turn Log'!$B$5:$B$5000,A265,'Turn Log'!$Y$5:$Y$5000,1))</f>
        <v/>
      </c>
      <c r="N265" s="56">
        <f>IF(A265="","",COUNTIFS('Turn Log'!$B$5:$B$5000,A265,'Turn Log'!$W$5:$W$5000,1))</f>
        <v/>
      </c>
      <c r="O265" s="56">
        <f>IF(H265="","No","Yes")</f>
        <v/>
      </c>
      <c r="P265" s="56">
        <f>IF(A265="","",COUNTIFS('Stability Checks'!$A$5:$A$2000,A265,'Stability Checks'!$C$5:$C$2000,"Re-execution",'Stability Checks'!$E$5:$E$2000,"Pass"))</f>
        <v/>
      </c>
      <c r="Q265" s="56">
        <f>IF(A265="","",COUNTIFS('Stability Checks'!$A$5:$A$2000,A265,'Stability Checks'!$C$5:$C$2000,"Re-prompt",'Stability Checks'!$E$5:$E$2000,"Pass"))</f>
        <v/>
      </c>
      <c r="R265" s="47">
        <f>IF(A265="","",'Run Plan'!Q265)</f>
        <v/>
      </c>
      <c r="S265" s="50" t="n"/>
    </row>
    <row r="266" ht="15.75" customHeight="1" s="40">
      <c r="A266" s="55">
        <f>IF('Run Plan'!A266="","",'Run Plan'!A266)</f>
        <v/>
      </c>
      <c r="B266" s="55">
        <f>IF(A266="","",'Run Plan'!C266)</f>
        <v/>
      </c>
      <c r="C266" s="55">
        <f>IF(A266="","",'Run Plan'!E266)</f>
        <v/>
      </c>
      <c r="D266" s="54">
        <f>IF(A266="","",'Run Plan'!G266)</f>
        <v/>
      </c>
      <c r="E266" s="47">
        <f>IF(A266="","",'Run Plan'!K266)</f>
        <v/>
      </c>
      <c r="F266" s="47">
        <f>IF(A266="","",'Run Plan'!J266)</f>
        <v/>
      </c>
      <c r="G266" s="56">
        <f>IF(A266="","",COUNTIF('Turn Log'!$B$5:$B$5000,A266))</f>
        <v/>
      </c>
      <c r="H266" s="56">
        <f>IF(A266="","",IFERROR(MINIFS('Turn Log'!$C$5:$C$5000,'Turn Log'!$B$5:$B$5000,A266,'Turn Log'!$Q$5:$Q$5000,"Pass"),""))</f>
        <v/>
      </c>
      <c r="I266" s="56">
        <f>IF(A266="","",IFERROR(MAXIFS('Turn Log'!$C$5:$C$5000,'Turn Log'!$B$5:$B$5000,A266),""))</f>
        <v/>
      </c>
      <c r="J266" s="56">
        <f>IF(A266="","",IFERROR(INDEX('Turn Log'!$Q$5:$Q$5000,MATCH(1,('Turn Log'!$B$5:$B$5000=A266)*('Turn Log'!$C$5:$C$5000=I266),0)),""))</f>
        <v/>
      </c>
      <c r="K266" s="56">
        <f>IF(A266="","",IFERROR(INDEX('Turn Log'!$R$5:$R$5000,MATCH(1,('Turn Log'!$B$5:$B$5000=A266)*('Turn Log'!$C$5:$C$5000=I266),0)),""))</f>
        <v/>
      </c>
      <c r="L266" s="56">
        <f>IF(A266="","",COUNTIFS('Turn Log'!$B$5:$B$5000,A266,'Turn Log'!$X$5:$X$5000,1))</f>
        <v/>
      </c>
      <c r="M266" s="56">
        <f>IF(A266="","",COUNTIFS('Turn Log'!$B$5:$B$5000,A266,'Turn Log'!$Y$5:$Y$5000,1))</f>
        <v/>
      </c>
      <c r="N266" s="56">
        <f>IF(A266="","",COUNTIFS('Turn Log'!$B$5:$B$5000,A266,'Turn Log'!$W$5:$W$5000,1))</f>
        <v/>
      </c>
      <c r="O266" s="56">
        <f>IF(H266="","No","Yes")</f>
        <v/>
      </c>
      <c r="P266" s="56">
        <f>IF(A266="","",COUNTIFS('Stability Checks'!$A$5:$A$2000,A266,'Stability Checks'!$C$5:$C$2000,"Re-execution",'Stability Checks'!$E$5:$E$2000,"Pass"))</f>
        <v/>
      </c>
      <c r="Q266" s="56">
        <f>IF(A266="","",COUNTIFS('Stability Checks'!$A$5:$A$2000,A266,'Stability Checks'!$C$5:$C$2000,"Re-prompt",'Stability Checks'!$E$5:$E$2000,"Pass"))</f>
        <v/>
      </c>
      <c r="R266" s="47">
        <f>IF(A266="","",'Run Plan'!Q266)</f>
        <v/>
      </c>
      <c r="S266" s="50" t="n"/>
    </row>
    <row r="267" ht="15.75" customHeight="1" s="40">
      <c r="A267" s="55">
        <f>IF('Run Plan'!A267="","",'Run Plan'!A267)</f>
        <v/>
      </c>
      <c r="B267" s="55">
        <f>IF(A267="","",'Run Plan'!C267)</f>
        <v/>
      </c>
      <c r="C267" s="55">
        <f>IF(A267="","",'Run Plan'!E267)</f>
        <v/>
      </c>
      <c r="D267" s="54">
        <f>IF(A267="","",'Run Plan'!G267)</f>
        <v/>
      </c>
      <c r="E267" s="47">
        <f>IF(A267="","",'Run Plan'!K267)</f>
        <v/>
      </c>
      <c r="F267" s="47">
        <f>IF(A267="","",'Run Plan'!J267)</f>
        <v/>
      </c>
      <c r="G267" s="56">
        <f>IF(A267="","",COUNTIF('Turn Log'!$B$5:$B$5000,A267))</f>
        <v/>
      </c>
      <c r="H267" s="56">
        <f>IF(A267="","",IFERROR(MINIFS('Turn Log'!$C$5:$C$5000,'Turn Log'!$B$5:$B$5000,A267,'Turn Log'!$Q$5:$Q$5000,"Pass"),""))</f>
        <v/>
      </c>
      <c r="I267" s="56">
        <f>IF(A267="","",IFERROR(MAXIFS('Turn Log'!$C$5:$C$5000,'Turn Log'!$B$5:$B$5000,A267),""))</f>
        <v/>
      </c>
      <c r="J267" s="56">
        <f>IF(A267="","",IFERROR(INDEX('Turn Log'!$Q$5:$Q$5000,MATCH(1,('Turn Log'!$B$5:$B$5000=A267)*('Turn Log'!$C$5:$C$5000=I267),0)),""))</f>
        <v/>
      </c>
      <c r="K267" s="56">
        <f>IF(A267="","",IFERROR(INDEX('Turn Log'!$R$5:$R$5000,MATCH(1,('Turn Log'!$B$5:$B$5000=A267)*('Turn Log'!$C$5:$C$5000=I267),0)),""))</f>
        <v/>
      </c>
      <c r="L267" s="56">
        <f>IF(A267="","",COUNTIFS('Turn Log'!$B$5:$B$5000,A267,'Turn Log'!$X$5:$X$5000,1))</f>
        <v/>
      </c>
      <c r="M267" s="56">
        <f>IF(A267="","",COUNTIFS('Turn Log'!$B$5:$B$5000,A267,'Turn Log'!$Y$5:$Y$5000,1))</f>
        <v/>
      </c>
      <c r="N267" s="56">
        <f>IF(A267="","",COUNTIFS('Turn Log'!$B$5:$B$5000,A267,'Turn Log'!$W$5:$W$5000,1))</f>
        <v/>
      </c>
      <c r="O267" s="56">
        <f>IF(H267="","No","Yes")</f>
        <v/>
      </c>
      <c r="P267" s="56">
        <f>IF(A267="","",COUNTIFS('Stability Checks'!$A$5:$A$2000,A267,'Stability Checks'!$C$5:$C$2000,"Re-execution",'Stability Checks'!$E$5:$E$2000,"Pass"))</f>
        <v/>
      </c>
      <c r="Q267" s="56">
        <f>IF(A267="","",COUNTIFS('Stability Checks'!$A$5:$A$2000,A267,'Stability Checks'!$C$5:$C$2000,"Re-prompt",'Stability Checks'!$E$5:$E$2000,"Pass"))</f>
        <v/>
      </c>
      <c r="R267" s="47">
        <f>IF(A267="","",'Run Plan'!Q267)</f>
        <v/>
      </c>
      <c r="S267" s="50" t="n"/>
    </row>
    <row r="268" ht="15.75" customHeight="1" s="40">
      <c r="A268" s="55">
        <f>IF('Run Plan'!A268="","",'Run Plan'!A268)</f>
        <v/>
      </c>
      <c r="B268" s="55">
        <f>IF(A268="","",'Run Plan'!C268)</f>
        <v/>
      </c>
      <c r="C268" s="55">
        <f>IF(A268="","",'Run Plan'!E268)</f>
        <v/>
      </c>
      <c r="D268" s="54">
        <f>IF(A268="","",'Run Plan'!G268)</f>
        <v/>
      </c>
      <c r="E268" s="47">
        <f>IF(A268="","",'Run Plan'!K268)</f>
        <v/>
      </c>
      <c r="F268" s="47">
        <f>IF(A268="","",'Run Plan'!J268)</f>
        <v/>
      </c>
      <c r="G268" s="56">
        <f>IF(A268="","",COUNTIF('Turn Log'!$B$5:$B$5000,A268))</f>
        <v/>
      </c>
      <c r="H268" s="56">
        <f>IF(A268="","",IFERROR(MINIFS('Turn Log'!$C$5:$C$5000,'Turn Log'!$B$5:$B$5000,A268,'Turn Log'!$Q$5:$Q$5000,"Pass"),""))</f>
        <v/>
      </c>
      <c r="I268" s="56">
        <f>IF(A268="","",IFERROR(MAXIFS('Turn Log'!$C$5:$C$5000,'Turn Log'!$B$5:$B$5000,A268),""))</f>
        <v/>
      </c>
      <c r="J268" s="56">
        <f>IF(A268="","",IFERROR(INDEX('Turn Log'!$Q$5:$Q$5000,MATCH(1,('Turn Log'!$B$5:$B$5000=A268)*('Turn Log'!$C$5:$C$5000=I268),0)),""))</f>
        <v/>
      </c>
      <c r="K268" s="56">
        <f>IF(A268="","",IFERROR(INDEX('Turn Log'!$R$5:$R$5000,MATCH(1,('Turn Log'!$B$5:$B$5000=A268)*('Turn Log'!$C$5:$C$5000=I268),0)),""))</f>
        <v/>
      </c>
      <c r="L268" s="56">
        <f>IF(A268="","",COUNTIFS('Turn Log'!$B$5:$B$5000,A268,'Turn Log'!$X$5:$X$5000,1))</f>
        <v/>
      </c>
      <c r="M268" s="56">
        <f>IF(A268="","",COUNTIFS('Turn Log'!$B$5:$B$5000,A268,'Turn Log'!$Y$5:$Y$5000,1))</f>
        <v/>
      </c>
      <c r="N268" s="56">
        <f>IF(A268="","",COUNTIFS('Turn Log'!$B$5:$B$5000,A268,'Turn Log'!$W$5:$W$5000,1))</f>
        <v/>
      </c>
      <c r="O268" s="56">
        <f>IF(H268="","No","Yes")</f>
        <v/>
      </c>
      <c r="P268" s="56">
        <f>IF(A268="","",COUNTIFS('Stability Checks'!$A$5:$A$2000,A268,'Stability Checks'!$C$5:$C$2000,"Re-execution",'Stability Checks'!$E$5:$E$2000,"Pass"))</f>
        <v/>
      </c>
      <c r="Q268" s="56">
        <f>IF(A268="","",COUNTIFS('Stability Checks'!$A$5:$A$2000,A268,'Stability Checks'!$C$5:$C$2000,"Re-prompt",'Stability Checks'!$E$5:$E$2000,"Pass"))</f>
        <v/>
      </c>
      <c r="R268" s="47">
        <f>IF(A268="","",'Run Plan'!Q268)</f>
        <v/>
      </c>
      <c r="S268" s="50" t="n"/>
    </row>
    <row r="269" ht="15.75" customHeight="1" s="40">
      <c r="A269" s="55">
        <f>IF('Run Plan'!A269="","",'Run Plan'!A269)</f>
        <v/>
      </c>
      <c r="B269" s="55">
        <f>IF(A269="","",'Run Plan'!C269)</f>
        <v/>
      </c>
      <c r="C269" s="55">
        <f>IF(A269="","",'Run Plan'!E269)</f>
        <v/>
      </c>
      <c r="D269" s="54">
        <f>IF(A269="","",'Run Plan'!G269)</f>
        <v/>
      </c>
      <c r="E269" s="47">
        <f>IF(A269="","",'Run Plan'!K269)</f>
        <v/>
      </c>
      <c r="F269" s="47">
        <f>IF(A269="","",'Run Plan'!J269)</f>
        <v/>
      </c>
      <c r="G269" s="56">
        <f>IF(A269="","",COUNTIF('Turn Log'!$B$5:$B$5000,A269))</f>
        <v/>
      </c>
      <c r="H269" s="56">
        <f>IF(A269="","",IFERROR(MINIFS('Turn Log'!$C$5:$C$5000,'Turn Log'!$B$5:$B$5000,A269,'Turn Log'!$Q$5:$Q$5000,"Pass"),""))</f>
        <v/>
      </c>
      <c r="I269" s="56">
        <f>IF(A269="","",IFERROR(MAXIFS('Turn Log'!$C$5:$C$5000,'Turn Log'!$B$5:$B$5000,A269),""))</f>
        <v/>
      </c>
      <c r="J269" s="56">
        <f>IF(A269="","",IFERROR(INDEX('Turn Log'!$Q$5:$Q$5000,MATCH(1,('Turn Log'!$B$5:$B$5000=A269)*('Turn Log'!$C$5:$C$5000=I269),0)),""))</f>
        <v/>
      </c>
      <c r="K269" s="56">
        <f>IF(A269="","",IFERROR(INDEX('Turn Log'!$R$5:$R$5000,MATCH(1,('Turn Log'!$B$5:$B$5000=A269)*('Turn Log'!$C$5:$C$5000=I269),0)),""))</f>
        <v/>
      </c>
      <c r="L269" s="56">
        <f>IF(A269="","",COUNTIFS('Turn Log'!$B$5:$B$5000,A269,'Turn Log'!$X$5:$X$5000,1))</f>
        <v/>
      </c>
      <c r="M269" s="56">
        <f>IF(A269="","",COUNTIFS('Turn Log'!$B$5:$B$5000,A269,'Turn Log'!$Y$5:$Y$5000,1))</f>
        <v/>
      </c>
      <c r="N269" s="56">
        <f>IF(A269="","",COUNTIFS('Turn Log'!$B$5:$B$5000,A269,'Turn Log'!$W$5:$W$5000,1))</f>
        <v/>
      </c>
      <c r="O269" s="56">
        <f>IF(H269="","No","Yes")</f>
        <v/>
      </c>
      <c r="P269" s="56">
        <f>IF(A269="","",COUNTIFS('Stability Checks'!$A$5:$A$2000,A269,'Stability Checks'!$C$5:$C$2000,"Re-execution",'Stability Checks'!$E$5:$E$2000,"Pass"))</f>
        <v/>
      </c>
      <c r="Q269" s="56">
        <f>IF(A269="","",COUNTIFS('Stability Checks'!$A$5:$A$2000,A269,'Stability Checks'!$C$5:$C$2000,"Re-prompt",'Stability Checks'!$E$5:$E$2000,"Pass"))</f>
        <v/>
      </c>
      <c r="R269" s="47">
        <f>IF(A269="","",'Run Plan'!Q269)</f>
        <v/>
      </c>
      <c r="S269" s="50" t="n"/>
    </row>
    <row r="270" ht="15.75" customHeight="1" s="40">
      <c r="A270" s="55">
        <f>IF('Run Plan'!A270="","",'Run Plan'!A270)</f>
        <v/>
      </c>
      <c r="B270" s="55">
        <f>IF(A270="","",'Run Plan'!C270)</f>
        <v/>
      </c>
      <c r="C270" s="55">
        <f>IF(A270="","",'Run Plan'!E270)</f>
        <v/>
      </c>
      <c r="D270" s="54">
        <f>IF(A270="","",'Run Plan'!G270)</f>
        <v/>
      </c>
      <c r="E270" s="47">
        <f>IF(A270="","",'Run Plan'!K270)</f>
        <v/>
      </c>
      <c r="F270" s="47">
        <f>IF(A270="","",'Run Plan'!J270)</f>
        <v/>
      </c>
      <c r="G270" s="56">
        <f>IF(A270="","",COUNTIF('Turn Log'!$B$5:$B$5000,A270))</f>
        <v/>
      </c>
      <c r="H270" s="56">
        <f>IF(A270="","",IFERROR(MINIFS('Turn Log'!$C$5:$C$5000,'Turn Log'!$B$5:$B$5000,A270,'Turn Log'!$Q$5:$Q$5000,"Pass"),""))</f>
        <v/>
      </c>
      <c r="I270" s="56">
        <f>IF(A270="","",IFERROR(MAXIFS('Turn Log'!$C$5:$C$5000,'Turn Log'!$B$5:$B$5000,A270),""))</f>
        <v/>
      </c>
      <c r="J270" s="56">
        <f>IF(A270="","",IFERROR(INDEX('Turn Log'!$Q$5:$Q$5000,MATCH(1,('Turn Log'!$B$5:$B$5000=A270)*('Turn Log'!$C$5:$C$5000=I270),0)),""))</f>
        <v/>
      </c>
      <c r="K270" s="56">
        <f>IF(A270="","",IFERROR(INDEX('Turn Log'!$R$5:$R$5000,MATCH(1,('Turn Log'!$B$5:$B$5000=A270)*('Turn Log'!$C$5:$C$5000=I270),0)),""))</f>
        <v/>
      </c>
      <c r="L270" s="56">
        <f>IF(A270="","",COUNTIFS('Turn Log'!$B$5:$B$5000,A270,'Turn Log'!$X$5:$X$5000,1))</f>
        <v/>
      </c>
      <c r="M270" s="56">
        <f>IF(A270="","",COUNTIFS('Turn Log'!$B$5:$B$5000,A270,'Turn Log'!$Y$5:$Y$5000,1))</f>
        <v/>
      </c>
      <c r="N270" s="56">
        <f>IF(A270="","",COUNTIFS('Turn Log'!$B$5:$B$5000,A270,'Turn Log'!$W$5:$W$5000,1))</f>
        <v/>
      </c>
      <c r="O270" s="56">
        <f>IF(H270="","No","Yes")</f>
        <v/>
      </c>
      <c r="P270" s="56">
        <f>IF(A270="","",COUNTIFS('Stability Checks'!$A$5:$A$2000,A270,'Stability Checks'!$C$5:$C$2000,"Re-execution",'Stability Checks'!$E$5:$E$2000,"Pass"))</f>
        <v/>
      </c>
      <c r="Q270" s="56">
        <f>IF(A270="","",COUNTIFS('Stability Checks'!$A$5:$A$2000,A270,'Stability Checks'!$C$5:$C$2000,"Re-prompt",'Stability Checks'!$E$5:$E$2000,"Pass"))</f>
        <v/>
      </c>
      <c r="R270" s="47">
        <f>IF(A270="","",'Run Plan'!Q270)</f>
        <v/>
      </c>
      <c r="S270" s="50" t="n"/>
    </row>
    <row r="271" ht="15.75" customHeight="1" s="40">
      <c r="A271" s="55">
        <f>IF('Run Plan'!A271="","",'Run Plan'!A271)</f>
        <v/>
      </c>
      <c r="B271" s="55">
        <f>IF(A271="","",'Run Plan'!C271)</f>
        <v/>
      </c>
      <c r="C271" s="55">
        <f>IF(A271="","",'Run Plan'!E271)</f>
        <v/>
      </c>
      <c r="D271" s="54">
        <f>IF(A271="","",'Run Plan'!G271)</f>
        <v/>
      </c>
      <c r="E271" s="47">
        <f>IF(A271="","",'Run Plan'!K271)</f>
        <v/>
      </c>
      <c r="F271" s="47">
        <f>IF(A271="","",'Run Plan'!J271)</f>
        <v/>
      </c>
      <c r="G271" s="56">
        <f>IF(A271="","",COUNTIF('Turn Log'!$B$5:$B$5000,A271))</f>
        <v/>
      </c>
      <c r="H271" s="56">
        <f>IF(A271="","",IFERROR(MINIFS('Turn Log'!$C$5:$C$5000,'Turn Log'!$B$5:$B$5000,A271,'Turn Log'!$Q$5:$Q$5000,"Pass"),""))</f>
        <v/>
      </c>
      <c r="I271" s="56">
        <f>IF(A271="","",IFERROR(MAXIFS('Turn Log'!$C$5:$C$5000,'Turn Log'!$B$5:$B$5000,A271),""))</f>
        <v/>
      </c>
      <c r="J271" s="56">
        <f>IF(A271="","",IFERROR(INDEX('Turn Log'!$Q$5:$Q$5000,MATCH(1,('Turn Log'!$B$5:$B$5000=A271)*('Turn Log'!$C$5:$C$5000=I271),0)),""))</f>
        <v/>
      </c>
      <c r="K271" s="56">
        <f>IF(A271="","",IFERROR(INDEX('Turn Log'!$R$5:$R$5000,MATCH(1,('Turn Log'!$B$5:$B$5000=A271)*('Turn Log'!$C$5:$C$5000=I271),0)),""))</f>
        <v/>
      </c>
      <c r="L271" s="56">
        <f>IF(A271="","",COUNTIFS('Turn Log'!$B$5:$B$5000,A271,'Turn Log'!$X$5:$X$5000,1))</f>
        <v/>
      </c>
      <c r="M271" s="56">
        <f>IF(A271="","",COUNTIFS('Turn Log'!$B$5:$B$5000,A271,'Turn Log'!$Y$5:$Y$5000,1))</f>
        <v/>
      </c>
      <c r="N271" s="56">
        <f>IF(A271="","",COUNTIFS('Turn Log'!$B$5:$B$5000,A271,'Turn Log'!$W$5:$W$5000,1))</f>
        <v/>
      </c>
      <c r="O271" s="56">
        <f>IF(H271="","No","Yes")</f>
        <v/>
      </c>
      <c r="P271" s="56">
        <f>IF(A271="","",COUNTIFS('Stability Checks'!$A$5:$A$2000,A271,'Stability Checks'!$C$5:$C$2000,"Re-execution",'Stability Checks'!$E$5:$E$2000,"Pass"))</f>
        <v/>
      </c>
      <c r="Q271" s="56">
        <f>IF(A271="","",COUNTIFS('Stability Checks'!$A$5:$A$2000,A271,'Stability Checks'!$C$5:$C$2000,"Re-prompt",'Stability Checks'!$E$5:$E$2000,"Pass"))</f>
        <v/>
      </c>
      <c r="R271" s="47">
        <f>IF(A271="","",'Run Plan'!Q271)</f>
        <v/>
      </c>
      <c r="S271" s="50" t="n"/>
    </row>
    <row r="272" ht="15.75" customHeight="1" s="40">
      <c r="A272" s="55">
        <f>IF('Run Plan'!A272="","",'Run Plan'!A272)</f>
        <v/>
      </c>
      <c r="B272" s="55">
        <f>IF(A272="","",'Run Plan'!C272)</f>
        <v/>
      </c>
      <c r="C272" s="55">
        <f>IF(A272="","",'Run Plan'!E272)</f>
        <v/>
      </c>
      <c r="D272" s="54">
        <f>IF(A272="","",'Run Plan'!G272)</f>
        <v/>
      </c>
      <c r="E272" s="47">
        <f>IF(A272="","",'Run Plan'!K272)</f>
        <v/>
      </c>
      <c r="F272" s="47">
        <f>IF(A272="","",'Run Plan'!J272)</f>
        <v/>
      </c>
      <c r="G272" s="56">
        <f>IF(A272="","",COUNTIF('Turn Log'!$B$5:$B$5000,A272))</f>
        <v/>
      </c>
      <c r="H272" s="56">
        <f>IF(A272="","",IFERROR(MINIFS('Turn Log'!$C$5:$C$5000,'Turn Log'!$B$5:$B$5000,A272,'Turn Log'!$Q$5:$Q$5000,"Pass"),""))</f>
        <v/>
      </c>
      <c r="I272" s="56">
        <f>IF(A272="","",IFERROR(MAXIFS('Turn Log'!$C$5:$C$5000,'Turn Log'!$B$5:$B$5000,A272),""))</f>
        <v/>
      </c>
      <c r="J272" s="56">
        <f>IF(A272="","",IFERROR(INDEX('Turn Log'!$Q$5:$Q$5000,MATCH(1,('Turn Log'!$B$5:$B$5000=A272)*('Turn Log'!$C$5:$C$5000=I272),0)),""))</f>
        <v/>
      </c>
      <c r="K272" s="56">
        <f>IF(A272="","",IFERROR(INDEX('Turn Log'!$R$5:$R$5000,MATCH(1,('Turn Log'!$B$5:$B$5000=A272)*('Turn Log'!$C$5:$C$5000=I272),0)),""))</f>
        <v/>
      </c>
      <c r="L272" s="56">
        <f>IF(A272="","",COUNTIFS('Turn Log'!$B$5:$B$5000,A272,'Turn Log'!$X$5:$X$5000,1))</f>
        <v/>
      </c>
      <c r="M272" s="56">
        <f>IF(A272="","",COUNTIFS('Turn Log'!$B$5:$B$5000,A272,'Turn Log'!$Y$5:$Y$5000,1))</f>
        <v/>
      </c>
      <c r="N272" s="56">
        <f>IF(A272="","",COUNTIFS('Turn Log'!$B$5:$B$5000,A272,'Turn Log'!$W$5:$W$5000,1))</f>
        <v/>
      </c>
      <c r="O272" s="56">
        <f>IF(H272="","No","Yes")</f>
        <v/>
      </c>
      <c r="P272" s="56">
        <f>IF(A272="","",COUNTIFS('Stability Checks'!$A$5:$A$2000,A272,'Stability Checks'!$C$5:$C$2000,"Re-execution",'Stability Checks'!$E$5:$E$2000,"Pass"))</f>
        <v/>
      </c>
      <c r="Q272" s="56">
        <f>IF(A272="","",COUNTIFS('Stability Checks'!$A$5:$A$2000,A272,'Stability Checks'!$C$5:$C$2000,"Re-prompt",'Stability Checks'!$E$5:$E$2000,"Pass"))</f>
        <v/>
      </c>
      <c r="R272" s="47">
        <f>IF(A272="","",'Run Plan'!Q272)</f>
        <v/>
      </c>
      <c r="S272" s="50" t="n"/>
    </row>
    <row r="273" ht="15.75" customHeight="1" s="40">
      <c r="A273" s="55">
        <f>IF('Run Plan'!A273="","",'Run Plan'!A273)</f>
        <v/>
      </c>
      <c r="B273" s="55">
        <f>IF(A273="","",'Run Plan'!C273)</f>
        <v/>
      </c>
      <c r="C273" s="55">
        <f>IF(A273="","",'Run Plan'!E273)</f>
        <v/>
      </c>
      <c r="D273" s="54">
        <f>IF(A273="","",'Run Plan'!G273)</f>
        <v/>
      </c>
      <c r="E273" s="47">
        <f>IF(A273="","",'Run Plan'!K273)</f>
        <v/>
      </c>
      <c r="F273" s="47">
        <f>IF(A273="","",'Run Plan'!J273)</f>
        <v/>
      </c>
      <c r="G273" s="56">
        <f>IF(A273="","",COUNTIF('Turn Log'!$B$5:$B$5000,A273))</f>
        <v/>
      </c>
      <c r="H273" s="56">
        <f>IF(A273="","",IFERROR(MINIFS('Turn Log'!$C$5:$C$5000,'Turn Log'!$B$5:$B$5000,A273,'Turn Log'!$Q$5:$Q$5000,"Pass"),""))</f>
        <v/>
      </c>
      <c r="I273" s="56">
        <f>IF(A273="","",IFERROR(MAXIFS('Turn Log'!$C$5:$C$5000,'Turn Log'!$B$5:$B$5000,A273),""))</f>
        <v/>
      </c>
      <c r="J273" s="56">
        <f>IF(A273="","",IFERROR(INDEX('Turn Log'!$Q$5:$Q$5000,MATCH(1,('Turn Log'!$B$5:$B$5000=A273)*('Turn Log'!$C$5:$C$5000=I273),0)),""))</f>
        <v/>
      </c>
      <c r="K273" s="56">
        <f>IF(A273="","",IFERROR(INDEX('Turn Log'!$R$5:$R$5000,MATCH(1,('Turn Log'!$B$5:$B$5000=A273)*('Turn Log'!$C$5:$C$5000=I273),0)),""))</f>
        <v/>
      </c>
      <c r="L273" s="56">
        <f>IF(A273="","",COUNTIFS('Turn Log'!$B$5:$B$5000,A273,'Turn Log'!$X$5:$X$5000,1))</f>
        <v/>
      </c>
      <c r="M273" s="56">
        <f>IF(A273="","",COUNTIFS('Turn Log'!$B$5:$B$5000,A273,'Turn Log'!$Y$5:$Y$5000,1))</f>
        <v/>
      </c>
      <c r="N273" s="56">
        <f>IF(A273="","",COUNTIFS('Turn Log'!$B$5:$B$5000,A273,'Turn Log'!$W$5:$W$5000,1))</f>
        <v/>
      </c>
      <c r="O273" s="56">
        <f>IF(H273="","No","Yes")</f>
        <v/>
      </c>
      <c r="P273" s="56">
        <f>IF(A273="","",COUNTIFS('Stability Checks'!$A$5:$A$2000,A273,'Stability Checks'!$C$5:$C$2000,"Re-execution",'Stability Checks'!$E$5:$E$2000,"Pass"))</f>
        <v/>
      </c>
      <c r="Q273" s="56">
        <f>IF(A273="","",COUNTIFS('Stability Checks'!$A$5:$A$2000,A273,'Stability Checks'!$C$5:$C$2000,"Re-prompt",'Stability Checks'!$E$5:$E$2000,"Pass"))</f>
        <v/>
      </c>
      <c r="R273" s="47">
        <f>IF(A273="","",'Run Plan'!Q273)</f>
        <v/>
      </c>
      <c r="S273" s="50" t="n"/>
    </row>
    <row r="274" ht="15.75" customHeight="1" s="40">
      <c r="A274" s="55">
        <f>IF('Run Plan'!A274="","",'Run Plan'!A274)</f>
        <v/>
      </c>
      <c r="B274" s="55">
        <f>IF(A274="","",'Run Plan'!C274)</f>
        <v/>
      </c>
      <c r="C274" s="55">
        <f>IF(A274="","",'Run Plan'!E274)</f>
        <v/>
      </c>
      <c r="D274" s="54">
        <f>IF(A274="","",'Run Plan'!G274)</f>
        <v/>
      </c>
      <c r="E274" s="47">
        <f>IF(A274="","",'Run Plan'!K274)</f>
        <v/>
      </c>
      <c r="F274" s="47">
        <f>IF(A274="","",'Run Plan'!J274)</f>
        <v/>
      </c>
      <c r="G274" s="56">
        <f>IF(A274="","",COUNTIF('Turn Log'!$B$5:$B$5000,A274))</f>
        <v/>
      </c>
      <c r="H274" s="56">
        <f>IF(A274="","",IFERROR(MINIFS('Turn Log'!$C$5:$C$5000,'Turn Log'!$B$5:$B$5000,A274,'Turn Log'!$Q$5:$Q$5000,"Pass"),""))</f>
        <v/>
      </c>
      <c r="I274" s="56">
        <f>IF(A274="","",IFERROR(MAXIFS('Turn Log'!$C$5:$C$5000,'Turn Log'!$B$5:$B$5000,A274),""))</f>
        <v/>
      </c>
      <c r="J274" s="56">
        <f>IF(A274="","",IFERROR(INDEX('Turn Log'!$Q$5:$Q$5000,MATCH(1,('Turn Log'!$B$5:$B$5000=A274)*('Turn Log'!$C$5:$C$5000=I274),0)),""))</f>
        <v/>
      </c>
      <c r="K274" s="56">
        <f>IF(A274="","",IFERROR(INDEX('Turn Log'!$R$5:$R$5000,MATCH(1,('Turn Log'!$B$5:$B$5000=A274)*('Turn Log'!$C$5:$C$5000=I274),0)),""))</f>
        <v/>
      </c>
      <c r="L274" s="56">
        <f>IF(A274="","",COUNTIFS('Turn Log'!$B$5:$B$5000,A274,'Turn Log'!$X$5:$X$5000,1))</f>
        <v/>
      </c>
      <c r="M274" s="56">
        <f>IF(A274="","",COUNTIFS('Turn Log'!$B$5:$B$5000,A274,'Turn Log'!$Y$5:$Y$5000,1))</f>
        <v/>
      </c>
      <c r="N274" s="56">
        <f>IF(A274="","",COUNTIFS('Turn Log'!$B$5:$B$5000,A274,'Turn Log'!$W$5:$W$5000,1))</f>
        <v/>
      </c>
      <c r="O274" s="56">
        <f>IF(H274="","No","Yes")</f>
        <v/>
      </c>
      <c r="P274" s="56">
        <f>IF(A274="","",COUNTIFS('Stability Checks'!$A$5:$A$2000,A274,'Stability Checks'!$C$5:$C$2000,"Re-execution",'Stability Checks'!$E$5:$E$2000,"Pass"))</f>
        <v/>
      </c>
      <c r="Q274" s="56">
        <f>IF(A274="","",COUNTIFS('Stability Checks'!$A$5:$A$2000,A274,'Stability Checks'!$C$5:$C$2000,"Re-prompt",'Stability Checks'!$E$5:$E$2000,"Pass"))</f>
        <v/>
      </c>
      <c r="R274" s="47">
        <f>IF(A274="","",'Run Plan'!Q274)</f>
        <v/>
      </c>
      <c r="S274" s="50" t="n"/>
    </row>
    <row r="275" ht="15.75" customHeight="1" s="40">
      <c r="A275" s="55">
        <f>IF('Run Plan'!A275="","",'Run Plan'!A275)</f>
        <v/>
      </c>
      <c r="B275" s="55">
        <f>IF(A275="","",'Run Plan'!C275)</f>
        <v/>
      </c>
      <c r="C275" s="55">
        <f>IF(A275="","",'Run Plan'!E275)</f>
        <v/>
      </c>
      <c r="D275" s="54">
        <f>IF(A275="","",'Run Plan'!G275)</f>
        <v/>
      </c>
      <c r="E275" s="47">
        <f>IF(A275="","",'Run Plan'!K275)</f>
        <v/>
      </c>
      <c r="F275" s="47">
        <f>IF(A275="","",'Run Plan'!J275)</f>
        <v/>
      </c>
      <c r="G275" s="56">
        <f>IF(A275="","",COUNTIF('Turn Log'!$B$5:$B$5000,A275))</f>
        <v/>
      </c>
      <c r="H275" s="56">
        <f>IF(A275="","",IFERROR(MINIFS('Turn Log'!$C$5:$C$5000,'Turn Log'!$B$5:$B$5000,A275,'Turn Log'!$Q$5:$Q$5000,"Pass"),""))</f>
        <v/>
      </c>
      <c r="I275" s="56">
        <f>IF(A275="","",IFERROR(MAXIFS('Turn Log'!$C$5:$C$5000,'Turn Log'!$B$5:$B$5000,A275),""))</f>
        <v/>
      </c>
      <c r="J275" s="56">
        <f>IF(A275="","",IFERROR(INDEX('Turn Log'!$Q$5:$Q$5000,MATCH(1,('Turn Log'!$B$5:$B$5000=A275)*('Turn Log'!$C$5:$C$5000=I275),0)),""))</f>
        <v/>
      </c>
      <c r="K275" s="56">
        <f>IF(A275="","",IFERROR(INDEX('Turn Log'!$R$5:$R$5000,MATCH(1,('Turn Log'!$B$5:$B$5000=A275)*('Turn Log'!$C$5:$C$5000=I275),0)),""))</f>
        <v/>
      </c>
      <c r="L275" s="56">
        <f>IF(A275="","",COUNTIFS('Turn Log'!$B$5:$B$5000,A275,'Turn Log'!$X$5:$X$5000,1))</f>
        <v/>
      </c>
      <c r="M275" s="56">
        <f>IF(A275="","",COUNTIFS('Turn Log'!$B$5:$B$5000,A275,'Turn Log'!$Y$5:$Y$5000,1))</f>
        <v/>
      </c>
      <c r="N275" s="56">
        <f>IF(A275="","",COUNTIFS('Turn Log'!$B$5:$B$5000,A275,'Turn Log'!$W$5:$W$5000,1))</f>
        <v/>
      </c>
      <c r="O275" s="56">
        <f>IF(H275="","No","Yes")</f>
        <v/>
      </c>
      <c r="P275" s="56">
        <f>IF(A275="","",COUNTIFS('Stability Checks'!$A$5:$A$2000,A275,'Stability Checks'!$C$5:$C$2000,"Re-execution",'Stability Checks'!$E$5:$E$2000,"Pass"))</f>
        <v/>
      </c>
      <c r="Q275" s="56">
        <f>IF(A275="","",COUNTIFS('Stability Checks'!$A$5:$A$2000,A275,'Stability Checks'!$C$5:$C$2000,"Re-prompt",'Stability Checks'!$E$5:$E$2000,"Pass"))</f>
        <v/>
      </c>
      <c r="R275" s="47">
        <f>IF(A275="","",'Run Plan'!Q275)</f>
        <v/>
      </c>
      <c r="S275" s="50" t="n"/>
    </row>
    <row r="276" ht="15.75" customHeight="1" s="40">
      <c r="A276" s="55">
        <f>IF('Run Plan'!A276="","",'Run Plan'!A276)</f>
        <v/>
      </c>
      <c r="B276" s="55">
        <f>IF(A276="","",'Run Plan'!C276)</f>
        <v/>
      </c>
      <c r="C276" s="55">
        <f>IF(A276="","",'Run Plan'!E276)</f>
        <v/>
      </c>
      <c r="D276" s="54">
        <f>IF(A276="","",'Run Plan'!G276)</f>
        <v/>
      </c>
      <c r="E276" s="47">
        <f>IF(A276="","",'Run Plan'!K276)</f>
        <v/>
      </c>
      <c r="F276" s="47">
        <f>IF(A276="","",'Run Plan'!J276)</f>
        <v/>
      </c>
      <c r="G276" s="56">
        <f>IF(A276="","",COUNTIF('Turn Log'!$B$5:$B$5000,A276))</f>
        <v/>
      </c>
      <c r="H276" s="56">
        <f>IF(A276="","",IFERROR(MINIFS('Turn Log'!$C$5:$C$5000,'Turn Log'!$B$5:$B$5000,A276,'Turn Log'!$Q$5:$Q$5000,"Pass"),""))</f>
        <v/>
      </c>
      <c r="I276" s="56">
        <f>IF(A276="","",IFERROR(MAXIFS('Turn Log'!$C$5:$C$5000,'Turn Log'!$B$5:$B$5000,A276),""))</f>
        <v/>
      </c>
      <c r="J276" s="56">
        <f>IF(A276="","",IFERROR(INDEX('Turn Log'!$Q$5:$Q$5000,MATCH(1,('Turn Log'!$B$5:$B$5000=A276)*('Turn Log'!$C$5:$C$5000=I276),0)),""))</f>
        <v/>
      </c>
      <c r="K276" s="56">
        <f>IF(A276="","",IFERROR(INDEX('Turn Log'!$R$5:$R$5000,MATCH(1,('Turn Log'!$B$5:$B$5000=A276)*('Turn Log'!$C$5:$C$5000=I276),0)),""))</f>
        <v/>
      </c>
      <c r="L276" s="56">
        <f>IF(A276="","",COUNTIFS('Turn Log'!$B$5:$B$5000,A276,'Turn Log'!$X$5:$X$5000,1))</f>
        <v/>
      </c>
      <c r="M276" s="56">
        <f>IF(A276="","",COUNTIFS('Turn Log'!$B$5:$B$5000,A276,'Turn Log'!$Y$5:$Y$5000,1))</f>
        <v/>
      </c>
      <c r="N276" s="56">
        <f>IF(A276="","",COUNTIFS('Turn Log'!$B$5:$B$5000,A276,'Turn Log'!$W$5:$W$5000,1))</f>
        <v/>
      </c>
      <c r="O276" s="56">
        <f>IF(H276="","No","Yes")</f>
        <v/>
      </c>
      <c r="P276" s="56">
        <f>IF(A276="","",COUNTIFS('Stability Checks'!$A$5:$A$2000,A276,'Stability Checks'!$C$5:$C$2000,"Re-execution",'Stability Checks'!$E$5:$E$2000,"Pass"))</f>
        <v/>
      </c>
      <c r="Q276" s="56">
        <f>IF(A276="","",COUNTIFS('Stability Checks'!$A$5:$A$2000,A276,'Stability Checks'!$C$5:$C$2000,"Re-prompt",'Stability Checks'!$E$5:$E$2000,"Pass"))</f>
        <v/>
      </c>
      <c r="R276" s="47">
        <f>IF(A276="","",'Run Plan'!Q276)</f>
        <v/>
      </c>
      <c r="S276" s="50" t="n"/>
    </row>
    <row r="277" ht="15.75" customHeight="1" s="40">
      <c r="A277" s="55">
        <f>IF('Run Plan'!A277="","",'Run Plan'!A277)</f>
        <v/>
      </c>
      <c r="B277" s="55">
        <f>IF(A277="","",'Run Plan'!C277)</f>
        <v/>
      </c>
      <c r="C277" s="55">
        <f>IF(A277="","",'Run Plan'!E277)</f>
        <v/>
      </c>
      <c r="D277" s="54">
        <f>IF(A277="","",'Run Plan'!G277)</f>
        <v/>
      </c>
      <c r="E277" s="47">
        <f>IF(A277="","",'Run Plan'!K277)</f>
        <v/>
      </c>
      <c r="F277" s="47">
        <f>IF(A277="","",'Run Plan'!J277)</f>
        <v/>
      </c>
      <c r="G277" s="56">
        <f>IF(A277="","",COUNTIF('Turn Log'!$B$5:$B$5000,A277))</f>
        <v/>
      </c>
      <c r="H277" s="56">
        <f>IF(A277="","",IFERROR(MINIFS('Turn Log'!$C$5:$C$5000,'Turn Log'!$B$5:$B$5000,A277,'Turn Log'!$Q$5:$Q$5000,"Pass"),""))</f>
        <v/>
      </c>
      <c r="I277" s="56">
        <f>IF(A277="","",IFERROR(MAXIFS('Turn Log'!$C$5:$C$5000,'Turn Log'!$B$5:$B$5000,A277),""))</f>
        <v/>
      </c>
      <c r="J277" s="56">
        <f>IF(A277="","",IFERROR(INDEX('Turn Log'!$Q$5:$Q$5000,MATCH(1,('Turn Log'!$B$5:$B$5000=A277)*('Turn Log'!$C$5:$C$5000=I277),0)),""))</f>
        <v/>
      </c>
      <c r="K277" s="56">
        <f>IF(A277="","",IFERROR(INDEX('Turn Log'!$R$5:$R$5000,MATCH(1,('Turn Log'!$B$5:$B$5000=A277)*('Turn Log'!$C$5:$C$5000=I277),0)),""))</f>
        <v/>
      </c>
      <c r="L277" s="56">
        <f>IF(A277="","",COUNTIFS('Turn Log'!$B$5:$B$5000,A277,'Turn Log'!$X$5:$X$5000,1))</f>
        <v/>
      </c>
      <c r="M277" s="56">
        <f>IF(A277="","",COUNTIFS('Turn Log'!$B$5:$B$5000,A277,'Turn Log'!$Y$5:$Y$5000,1))</f>
        <v/>
      </c>
      <c r="N277" s="56">
        <f>IF(A277="","",COUNTIFS('Turn Log'!$B$5:$B$5000,A277,'Turn Log'!$W$5:$W$5000,1))</f>
        <v/>
      </c>
      <c r="O277" s="56">
        <f>IF(H277="","No","Yes")</f>
        <v/>
      </c>
      <c r="P277" s="56">
        <f>IF(A277="","",COUNTIFS('Stability Checks'!$A$5:$A$2000,A277,'Stability Checks'!$C$5:$C$2000,"Re-execution",'Stability Checks'!$E$5:$E$2000,"Pass"))</f>
        <v/>
      </c>
      <c r="Q277" s="56">
        <f>IF(A277="","",COUNTIFS('Stability Checks'!$A$5:$A$2000,A277,'Stability Checks'!$C$5:$C$2000,"Re-prompt",'Stability Checks'!$E$5:$E$2000,"Pass"))</f>
        <v/>
      </c>
      <c r="R277" s="47">
        <f>IF(A277="","",'Run Plan'!Q277)</f>
        <v/>
      </c>
      <c r="S277" s="50" t="n"/>
    </row>
    <row r="278" ht="15.75" customHeight="1" s="40">
      <c r="A278" s="55">
        <f>IF('Run Plan'!A278="","",'Run Plan'!A278)</f>
        <v/>
      </c>
      <c r="B278" s="55">
        <f>IF(A278="","",'Run Plan'!C278)</f>
        <v/>
      </c>
      <c r="C278" s="55">
        <f>IF(A278="","",'Run Plan'!E278)</f>
        <v/>
      </c>
      <c r="D278" s="54">
        <f>IF(A278="","",'Run Plan'!G278)</f>
        <v/>
      </c>
      <c r="E278" s="47">
        <f>IF(A278="","",'Run Plan'!K278)</f>
        <v/>
      </c>
      <c r="F278" s="47">
        <f>IF(A278="","",'Run Plan'!J278)</f>
        <v/>
      </c>
      <c r="G278" s="56">
        <f>IF(A278="","",COUNTIF('Turn Log'!$B$5:$B$5000,A278))</f>
        <v/>
      </c>
      <c r="H278" s="56">
        <f>IF(A278="","",IFERROR(MINIFS('Turn Log'!$C$5:$C$5000,'Turn Log'!$B$5:$B$5000,A278,'Turn Log'!$Q$5:$Q$5000,"Pass"),""))</f>
        <v/>
      </c>
      <c r="I278" s="56">
        <f>IF(A278="","",IFERROR(MAXIFS('Turn Log'!$C$5:$C$5000,'Turn Log'!$B$5:$B$5000,A278),""))</f>
        <v/>
      </c>
      <c r="J278" s="56">
        <f>IF(A278="","",IFERROR(INDEX('Turn Log'!$Q$5:$Q$5000,MATCH(1,('Turn Log'!$B$5:$B$5000=A278)*('Turn Log'!$C$5:$C$5000=I278),0)),""))</f>
        <v/>
      </c>
      <c r="K278" s="56">
        <f>IF(A278="","",IFERROR(INDEX('Turn Log'!$R$5:$R$5000,MATCH(1,('Turn Log'!$B$5:$B$5000=A278)*('Turn Log'!$C$5:$C$5000=I278),0)),""))</f>
        <v/>
      </c>
      <c r="L278" s="56">
        <f>IF(A278="","",COUNTIFS('Turn Log'!$B$5:$B$5000,A278,'Turn Log'!$X$5:$X$5000,1))</f>
        <v/>
      </c>
      <c r="M278" s="56">
        <f>IF(A278="","",COUNTIFS('Turn Log'!$B$5:$B$5000,A278,'Turn Log'!$Y$5:$Y$5000,1))</f>
        <v/>
      </c>
      <c r="N278" s="56">
        <f>IF(A278="","",COUNTIFS('Turn Log'!$B$5:$B$5000,A278,'Turn Log'!$W$5:$W$5000,1))</f>
        <v/>
      </c>
      <c r="O278" s="56">
        <f>IF(H278="","No","Yes")</f>
        <v/>
      </c>
      <c r="P278" s="56">
        <f>IF(A278="","",COUNTIFS('Stability Checks'!$A$5:$A$2000,A278,'Stability Checks'!$C$5:$C$2000,"Re-execution",'Stability Checks'!$E$5:$E$2000,"Pass"))</f>
        <v/>
      </c>
      <c r="Q278" s="56">
        <f>IF(A278="","",COUNTIFS('Stability Checks'!$A$5:$A$2000,A278,'Stability Checks'!$C$5:$C$2000,"Re-prompt",'Stability Checks'!$E$5:$E$2000,"Pass"))</f>
        <v/>
      </c>
      <c r="R278" s="47">
        <f>IF(A278="","",'Run Plan'!Q278)</f>
        <v/>
      </c>
      <c r="S278" s="50" t="n"/>
    </row>
    <row r="279" ht="15.75" customHeight="1" s="40">
      <c r="A279" s="55">
        <f>IF('Run Plan'!A279="","",'Run Plan'!A279)</f>
        <v/>
      </c>
      <c r="B279" s="55">
        <f>IF(A279="","",'Run Plan'!C279)</f>
        <v/>
      </c>
      <c r="C279" s="55">
        <f>IF(A279="","",'Run Plan'!E279)</f>
        <v/>
      </c>
      <c r="D279" s="54">
        <f>IF(A279="","",'Run Plan'!G279)</f>
        <v/>
      </c>
      <c r="E279" s="47">
        <f>IF(A279="","",'Run Plan'!K279)</f>
        <v/>
      </c>
      <c r="F279" s="47">
        <f>IF(A279="","",'Run Plan'!J279)</f>
        <v/>
      </c>
      <c r="G279" s="56">
        <f>IF(A279="","",COUNTIF('Turn Log'!$B$5:$B$5000,A279))</f>
        <v/>
      </c>
      <c r="H279" s="56">
        <f>IF(A279="","",IFERROR(MINIFS('Turn Log'!$C$5:$C$5000,'Turn Log'!$B$5:$B$5000,A279,'Turn Log'!$Q$5:$Q$5000,"Pass"),""))</f>
        <v/>
      </c>
      <c r="I279" s="56">
        <f>IF(A279="","",IFERROR(MAXIFS('Turn Log'!$C$5:$C$5000,'Turn Log'!$B$5:$B$5000,A279),""))</f>
        <v/>
      </c>
      <c r="J279" s="56">
        <f>IF(A279="","",IFERROR(INDEX('Turn Log'!$Q$5:$Q$5000,MATCH(1,('Turn Log'!$B$5:$B$5000=A279)*('Turn Log'!$C$5:$C$5000=I279),0)),""))</f>
        <v/>
      </c>
      <c r="K279" s="56">
        <f>IF(A279="","",IFERROR(INDEX('Turn Log'!$R$5:$R$5000,MATCH(1,('Turn Log'!$B$5:$B$5000=A279)*('Turn Log'!$C$5:$C$5000=I279),0)),""))</f>
        <v/>
      </c>
      <c r="L279" s="56">
        <f>IF(A279="","",COUNTIFS('Turn Log'!$B$5:$B$5000,A279,'Turn Log'!$X$5:$X$5000,1))</f>
        <v/>
      </c>
      <c r="M279" s="56">
        <f>IF(A279="","",COUNTIFS('Turn Log'!$B$5:$B$5000,A279,'Turn Log'!$Y$5:$Y$5000,1))</f>
        <v/>
      </c>
      <c r="N279" s="56">
        <f>IF(A279="","",COUNTIFS('Turn Log'!$B$5:$B$5000,A279,'Turn Log'!$W$5:$W$5000,1))</f>
        <v/>
      </c>
      <c r="O279" s="56">
        <f>IF(H279="","No","Yes")</f>
        <v/>
      </c>
      <c r="P279" s="56">
        <f>IF(A279="","",COUNTIFS('Stability Checks'!$A$5:$A$2000,A279,'Stability Checks'!$C$5:$C$2000,"Re-execution",'Stability Checks'!$E$5:$E$2000,"Pass"))</f>
        <v/>
      </c>
      <c r="Q279" s="56">
        <f>IF(A279="","",COUNTIFS('Stability Checks'!$A$5:$A$2000,A279,'Stability Checks'!$C$5:$C$2000,"Re-prompt",'Stability Checks'!$E$5:$E$2000,"Pass"))</f>
        <v/>
      </c>
      <c r="R279" s="47">
        <f>IF(A279="","",'Run Plan'!Q279)</f>
        <v/>
      </c>
      <c r="S279" s="50" t="n"/>
    </row>
    <row r="280" ht="15.75" customHeight="1" s="40">
      <c r="A280" s="55">
        <f>IF('Run Plan'!A280="","",'Run Plan'!A280)</f>
        <v/>
      </c>
      <c r="B280" s="55">
        <f>IF(A280="","",'Run Plan'!C280)</f>
        <v/>
      </c>
      <c r="C280" s="55">
        <f>IF(A280="","",'Run Plan'!E280)</f>
        <v/>
      </c>
      <c r="D280" s="54">
        <f>IF(A280="","",'Run Plan'!G280)</f>
        <v/>
      </c>
      <c r="E280" s="47">
        <f>IF(A280="","",'Run Plan'!K280)</f>
        <v/>
      </c>
      <c r="F280" s="47">
        <f>IF(A280="","",'Run Plan'!J280)</f>
        <v/>
      </c>
      <c r="G280" s="56">
        <f>IF(A280="","",COUNTIF('Turn Log'!$B$5:$B$5000,A280))</f>
        <v/>
      </c>
      <c r="H280" s="56">
        <f>IF(A280="","",IFERROR(MINIFS('Turn Log'!$C$5:$C$5000,'Turn Log'!$B$5:$B$5000,A280,'Turn Log'!$Q$5:$Q$5000,"Pass"),""))</f>
        <v/>
      </c>
      <c r="I280" s="56">
        <f>IF(A280="","",IFERROR(MAXIFS('Turn Log'!$C$5:$C$5000,'Turn Log'!$B$5:$B$5000,A280),""))</f>
        <v/>
      </c>
      <c r="J280" s="56">
        <f>IF(A280="","",IFERROR(INDEX('Turn Log'!$Q$5:$Q$5000,MATCH(1,('Turn Log'!$B$5:$B$5000=A280)*('Turn Log'!$C$5:$C$5000=I280),0)),""))</f>
        <v/>
      </c>
      <c r="K280" s="56">
        <f>IF(A280="","",IFERROR(INDEX('Turn Log'!$R$5:$R$5000,MATCH(1,('Turn Log'!$B$5:$B$5000=A280)*('Turn Log'!$C$5:$C$5000=I280),0)),""))</f>
        <v/>
      </c>
      <c r="L280" s="56">
        <f>IF(A280="","",COUNTIFS('Turn Log'!$B$5:$B$5000,A280,'Turn Log'!$X$5:$X$5000,1))</f>
        <v/>
      </c>
      <c r="M280" s="56">
        <f>IF(A280="","",COUNTIFS('Turn Log'!$B$5:$B$5000,A280,'Turn Log'!$Y$5:$Y$5000,1))</f>
        <v/>
      </c>
      <c r="N280" s="56">
        <f>IF(A280="","",COUNTIFS('Turn Log'!$B$5:$B$5000,A280,'Turn Log'!$W$5:$W$5000,1))</f>
        <v/>
      </c>
      <c r="O280" s="56">
        <f>IF(H280="","No","Yes")</f>
        <v/>
      </c>
      <c r="P280" s="56">
        <f>IF(A280="","",COUNTIFS('Stability Checks'!$A$5:$A$2000,A280,'Stability Checks'!$C$5:$C$2000,"Re-execution",'Stability Checks'!$E$5:$E$2000,"Pass"))</f>
        <v/>
      </c>
      <c r="Q280" s="56">
        <f>IF(A280="","",COUNTIFS('Stability Checks'!$A$5:$A$2000,A280,'Stability Checks'!$C$5:$C$2000,"Re-prompt",'Stability Checks'!$E$5:$E$2000,"Pass"))</f>
        <v/>
      </c>
      <c r="R280" s="47">
        <f>IF(A280="","",'Run Plan'!Q280)</f>
        <v/>
      </c>
      <c r="S280" s="50" t="n"/>
    </row>
    <row r="281" ht="15.75" customHeight="1" s="40">
      <c r="A281" s="55">
        <f>IF('Run Plan'!A281="","",'Run Plan'!A281)</f>
        <v/>
      </c>
      <c r="B281" s="55">
        <f>IF(A281="","",'Run Plan'!C281)</f>
        <v/>
      </c>
      <c r="C281" s="55">
        <f>IF(A281="","",'Run Plan'!E281)</f>
        <v/>
      </c>
      <c r="D281" s="54">
        <f>IF(A281="","",'Run Plan'!G281)</f>
        <v/>
      </c>
      <c r="E281" s="47">
        <f>IF(A281="","",'Run Plan'!K281)</f>
        <v/>
      </c>
      <c r="F281" s="47">
        <f>IF(A281="","",'Run Plan'!J281)</f>
        <v/>
      </c>
      <c r="G281" s="56">
        <f>IF(A281="","",COUNTIF('Turn Log'!$B$5:$B$5000,A281))</f>
        <v/>
      </c>
      <c r="H281" s="56">
        <f>IF(A281="","",IFERROR(MINIFS('Turn Log'!$C$5:$C$5000,'Turn Log'!$B$5:$B$5000,A281,'Turn Log'!$Q$5:$Q$5000,"Pass"),""))</f>
        <v/>
      </c>
      <c r="I281" s="56">
        <f>IF(A281="","",IFERROR(MAXIFS('Turn Log'!$C$5:$C$5000,'Turn Log'!$B$5:$B$5000,A281),""))</f>
        <v/>
      </c>
      <c r="J281" s="56">
        <f>IF(A281="","",IFERROR(INDEX('Turn Log'!$Q$5:$Q$5000,MATCH(1,('Turn Log'!$B$5:$B$5000=A281)*('Turn Log'!$C$5:$C$5000=I281),0)),""))</f>
        <v/>
      </c>
      <c r="K281" s="56">
        <f>IF(A281="","",IFERROR(INDEX('Turn Log'!$R$5:$R$5000,MATCH(1,('Turn Log'!$B$5:$B$5000=A281)*('Turn Log'!$C$5:$C$5000=I281),0)),""))</f>
        <v/>
      </c>
      <c r="L281" s="56">
        <f>IF(A281="","",COUNTIFS('Turn Log'!$B$5:$B$5000,A281,'Turn Log'!$X$5:$X$5000,1))</f>
        <v/>
      </c>
      <c r="M281" s="56">
        <f>IF(A281="","",COUNTIFS('Turn Log'!$B$5:$B$5000,A281,'Turn Log'!$Y$5:$Y$5000,1))</f>
        <v/>
      </c>
      <c r="N281" s="56">
        <f>IF(A281="","",COUNTIFS('Turn Log'!$B$5:$B$5000,A281,'Turn Log'!$W$5:$W$5000,1))</f>
        <v/>
      </c>
      <c r="O281" s="56">
        <f>IF(H281="","No","Yes")</f>
        <v/>
      </c>
      <c r="P281" s="56">
        <f>IF(A281="","",COUNTIFS('Stability Checks'!$A$5:$A$2000,A281,'Stability Checks'!$C$5:$C$2000,"Re-execution",'Stability Checks'!$E$5:$E$2000,"Pass"))</f>
        <v/>
      </c>
      <c r="Q281" s="56">
        <f>IF(A281="","",COUNTIFS('Stability Checks'!$A$5:$A$2000,A281,'Stability Checks'!$C$5:$C$2000,"Re-prompt",'Stability Checks'!$E$5:$E$2000,"Pass"))</f>
        <v/>
      </c>
      <c r="R281" s="47">
        <f>IF(A281="","",'Run Plan'!Q281)</f>
        <v/>
      </c>
      <c r="S281" s="50" t="n"/>
    </row>
    <row r="282" ht="15.75" customHeight="1" s="40">
      <c r="A282" s="55">
        <f>IF('Run Plan'!A282="","",'Run Plan'!A282)</f>
        <v/>
      </c>
      <c r="B282" s="55">
        <f>IF(A282="","",'Run Plan'!C282)</f>
        <v/>
      </c>
      <c r="C282" s="55">
        <f>IF(A282="","",'Run Plan'!E282)</f>
        <v/>
      </c>
      <c r="D282" s="54">
        <f>IF(A282="","",'Run Plan'!G282)</f>
        <v/>
      </c>
      <c r="E282" s="47">
        <f>IF(A282="","",'Run Plan'!K282)</f>
        <v/>
      </c>
      <c r="F282" s="47">
        <f>IF(A282="","",'Run Plan'!J282)</f>
        <v/>
      </c>
      <c r="G282" s="56">
        <f>IF(A282="","",COUNTIF('Turn Log'!$B$5:$B$5000,A282))</f>
        <v/>
      </c>
      <c r="H282" s="56">
        <f>IF(A282="","",IFERROR(MINIFS('Turn Log'!$C$5:$C$5000,'Turn Log'!$B$5:$B$5000,A282,'Turn Log'!$Q$5:$Q$5000,"Pass"),""))</f>
        <v/>
      </c>
      <c r="I282" s="56">
        <f>IF(A282="","",IFERROR(MAXIFS('Turn Log'!$C$5:$C$5000,'Turn Log'!$B$5:$B$5000,A282),""))</f>
        <v/>
      </c>
      <c r="J282" s="56">
        <f>IF(A282="","",IFERROR(INDEX('Turn Log'!$Q$5:$Q$5000,MATCH(1,('Turn Log'!$B$5:$B$5000=A282)*('Turn Log'!$C$5:$C$5000=I282),0)),""))</f>
        <v/>
      </c>
      <c r="K282" s="56">
        <f>IF(A282="","",IFERROR(INDEX('Turn Log'!$R$5:$R$5000,MATCH(1,('Turn Log'!$B$5:$B$5000=A282)*('Turn Log'!$C$5:$C$5000=I282),0)),""))</f>
        <v/>
      </c>
      <c r="L282" s="56">
        <f>IF(A282="","",COUNTIFS('Turn Log'!$B$5:$B$5000,A282,'Turn Log'!$X$5:$X$5000,1))</f>
        <v/>
      </c>
      <c r="M282" s="56">
        <f>IF(A282="","",COUNTIFS('Turn Log'!$B$5:$B$5000,A282,'Turn Log'!$Y$5:$Y$5000,1))</f>
        <v/>
      </c>
      <c r="N282" s="56">
        <f>IF(A282="","",COUNTIFS('Turn Log'!$B$5:$B$5000,A282,'Turn Log'!$W$5:$W$5000,1))</f>
        <v/>
      </c>
      <c r="O282" s="56">
        <f>IF(H282="","No","Yes")</f>
        <v/>
      </c>
      <c r="P282" s="56">
        <f>IF(A282="","",COUNTIFS('Stability Checks'!$A$5:$A$2000,A282,'Stability Checks'!$C$5:$C$2000,"Re-execution",'Stability Checks'!$E$5:$E$2000,"Pass"))</f>
        <v/>
      </c>
      <c r="Q282" s="56">
        <f>IF(A282="","",COUNTIFS('Stability Checks'!$A$5:$A$2000,A282,'Stability Checks'!$C$5:$C$2000,"Re-prompt",'Stability Checks'!$E$5:$E$2000,"Pass"))</f>
        <v/>
      </c>
      <c r="R282" s="47">
        <f>IF(A282="","",'Run Plan'!Q282)</f>
        <v/>
      </c>
      <c r="S282" s="50" t="n"/>
    </row>
    <row r="283" ht="15.75" customHeight="1" s="40">
      <c r="A283" s="55">
        <f>IF('Run Plan'!A283="","",'Run Plan'!A283)</f>
        <v/>
      </c>
      <c r="B283" s="55">
        <f>IF(A283="","",'Run Plan'!C283)</f>
        <v/>
      </c>
      <c r="C283" s="55">
        <f>IF(A283="","",'Run Plan'!E283)</f>
        <v/>
      </c>
      <c r="D283" s="54">
        <f>IF(A283="","",'Run Plan'!G283)</f>
        <v/>
      </c>
      <c r="E283" s="47">
        <f>IF(A283="","",'Run Plan'!K283)</f>
        <v/>
      </c>
      <c r="F283" s="47">
        <f>IF(A283="","",'Run Plan'!J283)</f>
        <v/>
      </c>
      <c r="G283" s="56">
        <f>IF(A283="","",COUNTIF('Turn Log'!$B$5:$B$5000,A283))</f>
        <v/>
      </c>
      <c r="H283" s="56">
        <f>IF(A283="","",IFERROR(MINIFS('Turn Log'!$C$5:$C$5000,'Turn Log'!$B$5:$B$5000,A283,'Turn Log'!$Q$5:$Q$5000,"Pass"),""))</f>
        <v/>
      </c>
      <c r="I283" s="56">
        <f>IF(A283="","",IFERROR(MAXIFS('Turn Log'!$C$5:$C$5000,'Turn Log'!$B$5:$B$5000,A283),""))</f>
        <v/>
      </c>
      <c r="J283" s="56">
        <f>IF(A283="","",IFERROR(INDEX('Turn Log'!$Q$5:$Q$5000,MATCH(1,('Turn Log'!$B$5:$B$5000=A283)*('Turn Log'!$C$5:$C$5000=I283),0)),""))</f>
        <v/>
      </c>
      <c r="K283" s="56">
        <f>IF(A283="","",IFERROR(INDEX('Turn Log'!$R$5:$R$5000,MATCH(1,('Turn Log'!$B$5:$B$5000=A283)*('Turn Log'!$C$5:$C$5000=I283),0)),""))</f>
        <v/>
      </c>
      <c r="L283" s="56">
        <f>IF(A283="","",COUNTIFS('Turn Log'!$B$5:$B$5000,A283,'Turn Log'!$X$5:$X$5000,1))</f>
        <v/>
      </c>
      <c r="M283" s="56">
        <f>IF(A283="","",COUNTIFS('Turn Log'!$B$5:$B$5000,A283,'Turn Log'!$Y$5:$Y$5000,1))</f>
        <v/>
      </c>
      <c r="N283" s="56">
        <f>IF(A283="","",COUNTIFS('Turn Log'!$B$5:$B$5000,A283,'Turn Log'!$W$5:$W$5000,1))</f>
        <v/>
      </c>
      <c r="O283" s="56">
        <f>IF(H283="","No","Yes")</f>
        <v/>
      </c>
      <c r="P283" s="56">
        <f>IF(A283="","",COUNTIFS('Stability Checks'!$A$5:$A$2000,A283,'Stability Checks'!$C$5:$C$2000,"Re-execution",'Stability Checks'!$E$5:$E$2000,"Pass"))</f>
        <v/>
      </c>
      <c r="Q283" s="56">
        <f>IF(A283="","",COUNTIFS('Stability Checks'!$A$5:$A$2000,A283,'Stability Checks'!$C$5:$C$2000,"Re-prompt",'Stability Checks'!$E$5:$E$2000,"Pass"))</f>
        <v/>
      </c>
      <c r="R283" s="47">
        <f>IF(A283="","",'Run Plan'!Q283)</f>
        <v/>
      </c>
      <c r="S283" s="50" t="n"/>
    </row>
    <row r="284" ht="15.75" customHeight="1" s="40">
      <c r="A284" s="55">
        <f>IF('Run Plan'!A284="","",'Run Plan'!A284)</f>
        <v/>
      </c>
      <c r="B284" s="55">
        <f>IF(A284="","",'Run Plan'!C284)</f>
        <v/>
      </c>
      <c r="C284" s="55">
        <f>IF(A284="","",'Run Plan'!E284)</f>
        <v/>
      </c>
      <c r="D284" s="54">
        <f>IF(A284="","",'Run Plan'!G284)</f>
        <v/>
      </c>
      <c r="E284" s="47">
        <f>IF(A284="","",'Run Plan'!K284)</f>
        <v/>
      </c>
      <c r="F284" s="47">
        <f>IF(A284="","",'Run Plan'!J284)</f>
        <v/>
      </c>
      <c r="G284" s="56">
        <f>IF(A284="","",COUNTIF('Turn Log'!$B$5:$B$5000,A284))</f>
        <v/>
      </c>
      <c r="H284" s="56">
        <f>IF(A284="","",IFERROR(MINIFS('Turn Log'!$C$5:$C$5000,'Turn Log'!$B$5:$B$5000,A284,'Turn Log'!$Q$5:$Q$5000,"Pass"),""))</f>
        <v/>
      </c>
      <c r="I284" s="56">
        <f>IF(A284="","",IFERROR(MAXIFS('Turn Log'!$C$5:$C$5000,'Turn Log'!$B$5:$B$5000,A284),""))</f>
        <v/>
      </c>
      <c r="J284" s="56">
        <f>IF(A284="","",IFERROR(INDEX('Turn Log'!$Q$5:$Q$5000,MATCH(1,('Turn Log'!$B$5:$B$5000=A284)*('Turn Log'!$C$5:$C$5000=I284),0)),""))</f>
        <v/>
      </c>
      <c r="K284" s="56">
        <f>IF(A284="","",IFERROR(INDEX('Turn Log'!$R$5:$R$5000,MATCH(1,('Turn Log'!$B$5:$B$5000=A284)*('Turn Log'!$C$5:$C$5000=I284),0)),""))</f>
        <v/>
      </c>
      <c r="L284" s="56">
        <f>IF(A284="","",COUNTIFS('Turn Log'!$B$5:$B$5000,A284,'Turn Log'!$X$5:$X$5000,1))</f>
        <v/>
      </c>
      <c r="M284" s="56">
        <f>IF(A284="","",COUNTIFS('Turn Log'!$B$5:$B$5000,A284,'Turn Log'!$Y$5:$Y$5000,1))</f>
        <v/>
      </c>
      <c r="N284" s="56">
        <f>IF(A284="","",COUNTIFS('Turn Log'!$B$5:$B$5000,A284,'Turn Log'!$W$5:$W$5000,1))</f>
        <v/>
      </c>
      <c r="O284" s="56">
        <f>IF(H284="","No","Yes")</f>
        <v/>
      </c>
      <c r="P284" s="56">
        <f>IF(A284="","",COUNTIFS('Stability Checks'!$A$5:$A$2000,A284,'Stability Checks'!$C$5:$C$2000,"Re-execution",'Stability Checks'!$E$5:$E$2000,"Pass"))</f>
        <v/>
      </c>
      <c r="Q284" s="56">
        <f>IF(A284="","",COUNTIFS('Stability Checks'!$A$5:$A$2000,A284,'Stability Checks'!$C$5:$C$2000,"Re-prompt",'Stability Checks'!$E$5:$E$2000,"Pass"))</f>
        <v/>
      </c>
      <c r="R284" s="47">
        <f>IF(A284="","",'Run Plan'!Q284)</f>
        <v/>
      </c>
      <c r="S284" s="50" t="n"/>
    </row>
    <row r="285" ht="15.75" customHeight="1" s="40">
      <c r="A285" s="55">
        <f>IF('Run Plan'!A285="","",'Run Plan'!A285)</f>
        <v/>
      </c>
      <c r="B285" s="55">
        <f>IF(A285="","",'Run Plan'!C285)</f>
        <v/>
      </c>
      <c r="C285" s="55">
        <f>IF(A285="","",'Run Plan'!E285)</f>
        <v/>
      </c>
      <c r="D285" s="54">
        <f>IF(A285="","",'Run Plan'!G285)</f>
        <v/>
      </c>
      <c r="E285" s="47">
        <f>IF(A285="","",'Run Plan'!K285)</f>
        <v/>
      </c>
      <c r="F285" s="47">
        <f>IF(A285="","",'Run Plan'!J285)</f>
        <v/>
      </c>
      <c r="G285" s="56">
        <f>IF(A285="","",COUNTIF('Turn Log'!$B$5:$B$5000,A285))</f>
        <v/>
      </c>
      <c r="H285" s="56">
        <f>IF(A285="","",IFERROR(MINIFS('Turn Log'!$C$5:$C$5000,'Turn Log'!$B$5:$B$5000,A285,'Turn Log'!$Q$5:$Q$5000,"Pass"),""))</f>
        <v/>
      </c>
      <c r="I285" s="56">
        <f>IF(A285="","",IFERROR(MAXIFS('Turn Log'!$C$5:$C$5000,'Turn Log'!$B$5:$B$5000,A285),""))</f>
        <v/>
      </c>
      <c r="J285" s="56">
        <f>IF(A285="","",IFERROR(INDEX('Turn Log'!$Q$5:$Q$5000,MATCH(1,('Turn Log'!$B$5:$B$5000=A285)*('Turn Log'!$C$5:$C$5000=I285),0)),""))</f>
        <v/>
      </c>
      <c r="K285" s="56">
        <f>IF(A285="","",IFERROR(INDEX('Turn Log'!$R$5:$R$5000,MATCH(1,('Turn Log'!$B$5:$B$5000=A285)*('Turn Log'!$C$5:$C$5000=I285),0)),""))</f>
        <v/>
      </c>
      <c r="L285" s="56">
        <f>IF(A285="","",COUNTIFS('Turn Log'!$B$5:$B$5000,A285,'Turn Log'!$X$5:$X$5000,1))</f>
        <v/>
      </c>
      <c r="M285" s="56">
        <f>IF(A285="","",COUNTIFS('Turn Log'!$B$5:$B$5000,A285,'Turn Log'!$Y$5:$Y$5000,1))</f>
        <v/>
      </c>
      <c r="N285" s="56">
        <f>IF(A285="","",COUNTIFS('Turn Log'!$B$5:$B$5000,A285,'Turn Log'!$W$5:$W$5000,1))</f>
        <v/>
      </c>
      <c r="O285" s="56">
        <f>IF(H285="","No","Yes")</f>
        <v/>
      </c>
      <c r="P285" s="56">
        <f>IF(A285="","",COUNTIFS('Stability Checks'!$A$5:$A$2000,A285,'Stability Checks'!$C$5:$C$2000,"Re-execution",'Stability Checks'!$E$5:$E$2000,"Pass"))</f>
        <v/>
      </c>
      <c r="Q285" s="56">
        <f>IF(A285="","",COUNTIFS('Stability Checks'!$A$5:$A$2000,A285,'Stability Checks'!$C$5:$C$2000,"Re-prompt",'Stability Checks'!$E$5:$E$2000,"Pass"))</f>
        <v/>
      </c>
      <c r="R285" s="47">
        <f>IF(A285="","",'Run Plan'!Q285)</f>
        <v/>
      </c>
      <c r="S285" s="50" t="n"/>
    </row>
    <row r="286" ht="15.75" customHeight="1" s="40">
      <c r="A286" s="55">
        <f>IF('Run Plan'!A286="","",'Run Plan'!A286)</f>
        <v/>
      </c>
      <c r="B286" s="55">
        <f>IF(A286="","",'Run Plan'!C286)</f>
        <v/>
      </c>
      <c r="C286" s="55">
        <f>IF(A286="","",'Run Plan'!E286)</f>
        <v/>
      </c>
      <c r="D286" s="54">
        <f>IF(A286="","",'Run Plan'!G286)</f>
        <v/>
      </c>
      <c r="E286" s="47">
        <f>IF(A286="","",'Run Plan'!K286)</f>
        <v/>
      </c>
      <c r="F286" s="47">
        <f>IF(A286="","",'Run Plan'!J286)</f>
        <v/>
      </c>
      <c r="G286" s="56">
        <f>IF(A286="","",COUNTIF('Turn Log'!$B$5:$B$5000,A286))</f>
        <v/>
      </c>
      <c r="H286" s="56">
        <f>IF(A286="","",IFERROR(MINIFS('Turn Log'!$C$5:$C$5000,'Turn Log'!$B$5:$B$5000,A286,'Turn Log'!$Q$5:$Q$5000,"Pass"),""))</f>
        <v/>
      </c>
      <c r="I286" s="56">
        <f>IF(A286="","",IFERROR(MAXIFS('Turn Log'!$C$5:$C$5000,'Turn Log'!$B$5:$B$5000,A286),""))</f>
        <v/>
      </c>
      <c r="J286" s="56">
        <f>IF(A286="","",IFERROR(INDEX('Turn Log'!$Q$5:$Q$5000,MATCH(1,('Turn Log'!$B$5:$B$5000=A286)*('Turn Log'!$C$5:$C$5000=I286),0)),""))</f>
        <v/>
      </c>
      <c r="K286" s="56">
        <f>IF(A286="","",IFERROR(INDEX('Turn Log'!$R$5:$R$5000,MATCH(1,('Turn Log'!$B$5:$B$5000=A286)*('Turn Log'!$C$5:$C$5000=I286),0)),""))</f>
        <v/>
      </c>
      <c r="L286" s="56">
        <f>IF(A286="","",COUNTIFS('Turn Log'!$B$5:$B$5000,A286,'Turn Log'!$X$5:$X$5000,1))</f>
        <v/>
      </c>
      <c r="M286" s="56">
        <f>IF(A286="","",COUNTIFS('Turn Log'!$B$5:$B$5000,A286,'Turn Log'!$Y$5:$Y$5000,1))</f>
        <v/>
      </c>
      <c r="N286" s="56">
        <f>IF(A286="","",COUNTIFS('Turn Log'!$B$5:$B$5000,A286,'Turn Log'!$W$5:$W$5000,1))</f>
        <v/>
      </c>
      <c r="O286" s="56">
        <f>IF(H286="","No","Yes")</f>
        <v/>
      </c>
      <c r="P286" s="56">
        <f>IF(A286="","",COUNTIFS('Stability Checks'!$A$5:$A$2000,A286,'Stability Checks'!$C$5:$C$2000,"Re-execution",'Stability Checks'!$E$5:$E$2000,"Pass"))</f>
        <v/>
      </c>
      <c r="Q286" s="56">
        <f>IF(A286="","",COUNTIFS('Stability Checks'!$A$5:$A$2000,A286,'Stability Checks'!$C$5:$C$2000,"Re-prompt",'Stability Checks'!$E$5:$E$2000,"Pass"))</f>
        <v/>
      </c>
      <c r="R286" s="47">
        <f>IF(A286="","",'Run Plan'!Q286)</f>
        <v/>
      </c>
      <c r="S286" s="50" t="n"/>
    </row>
    <row r="287" ht="15.75" customHeight="1" s="40">
      <c r="A287" s="55">
        <f>IF('Run Plan'!A287="","",'Run Plan'!A287)</f>
        <v/>
      </c>
      <c r="B287" s="55">
        <f>IF(A287="","",'Run Plan'!C287)</f>
        <v/>
      </c>
      <c r="C287" s="55">
        <f>IF(A287="","",'Run Plan'!E287)</f>
        <v/>
      </c>
      <c r="D287" s="54">
        <f>IF(A287="","",'Run Plan'!G287)</f>
        <v/>
      </c>
      <c r="E287" s="47">
        <f>IF(A287="","",'Run Plan'!K287)</f>
        <v/>
      </c>
      <c r="F287" s="47">
        <f>IF(A287="","",'Run Plan'!J287)</f>
        <v/>
      </c>
      <c r="G287" s="56">
        <f>IF(A287="","",COUNTIF('Turn Log'!$B$5:$B$5000,A287))</f>
        <v/>
      </c>
      <c r="H287" s="56">
        <f>IF(A287="","",IFERROR(MINIFS('Turn Log'!$C$5:$C$5000,'Turn Log'!$B$5:$B$5000,A287,'Turn Log'!$Q$5:$Q$5000,"Pass"),""))</f>
        <v/>
      </c>
      <c r="I287" s="56">
        <f>IF(A287="","",IFERROR(MAXIFS('Turn Log'!$C$5:$C$5000,'Turn Log'!$B$5:$B$5000,A287),""))</f>
        <v/>
      </c>
      <c r="J287" s="56">
        <f>IF(A287="","",IFERROR(INDEX('Turn Log'!$Q$5:$Q$5000,MATCH(1,('Turn Log'!$B$5:$B$5000=A287)*('Turn Log'!$C$5:$C$5000=I287),0)),""))</f>
        <v/>
      </c>
      <c r="K287" s="56">
        <f>IF(A287="","",IFERROR(INDEX('Turn Log'!$R$5:$R$5000,MATCH(1,('Turn Log'!$B$5:$B$5000=A287)*('Turn Log'!$C$5:$C$5000=I287),0)),""))</f>
        <v/>
      </c>
      <c r="L287" s="56">
        <f>IF(A287="","",COUNTIFS('Turn Log'!$B$5:$B$5000,A287,'Turn Log'!$X$5:$X$5000,1))</f>
        <v/>
      </c>
      <c r="M287" s="56">
        <f>IF(A287="","",COUNTIFS('Turn Log'!$B$5:$B$5000,A287,'Turn Log'!$Y$5:$Y$5000,1))</f>
        <v/>
      </c>
      <c r="N287" s="56">
        <f>IF(A287="","",COUNTIFS('Turn Log'!$B$5:$B$5000,A287,'Turn Log'!$W$5:$W$5000,1))</f>
        <v/>
      </c>
      <c r="O287" s="56">
        <f>IF(H287="","No","Yes")</f>
        <v/>
      </c>
      <c r="P287" s="56">
        <f>IF(A287="","",COUNTIFS('Stability Checks'!$A$5:$A$2000,A287,'Stability Checks'!$C$5:$C$2000,"Re-execution",'Stability Checks'!$E$5:$E$2000,"Pass"))</f>
        <v/>
      </c>
      <c r="Q287" s="56">
        <f>IF(A287="","",COUNTIFS('Stability Checks'!$A$5:$A$2000,A287,'Stability Checks'!$C$5:$C$2000,"Re-prompt",'Stability Checks'!$E$5:$E$2000,"Pass"))</f>
        <v/>
      </c>
      <c r="R287" s="47">
        <f>IF(A287="","",'Run Plan'!Q287)</f>
        <v/>
      </c>
      <c r="S287" s="50" t="n"/>
    </row>
    <row r="288" ht="15.75" customHeight="1" s="40">
      <c r="A288" s="55">
        <f>IF('Run Plan'!A288="","",'Run Plan'!A288)</f>
        <v/>
      </c>
      <c r="B288" s="55">
        <f>IF(A288="","",'Run Plan'!C288)</f>
        <v/>
      </c>
      <c r="C288" s="55">
        <f>IF(A288="","",'Run Plan'!E288)</f>
        <v/>
      </c>
      <c r="D288" s="54">
        <f>IF(A288="","",'Run Plan'!G288)</f>
        <v/>
      </c>
      <c r="E288" s="47">
        <f>IF(A288="","",'Run Plan'!K288)</f>
        <v/>
      </c>
      <c r="F288" s="47">
        <f>IF(A288="","",'Run Plan'!J288)</f>
        <v/>
      </c>
      <c r="G288" s="56">
        <f>IF(A288="","",COUNTIF('Turn Log'!$B$5:$B$5000,A288))</f>
        <v/>
      </c>
      <c r="H288" s="56">
        <f>IF(A288="","",IFERROR(MINIFS('Turn Log'!$C$5:$C$5000,'Turn Log'!$B$5:$B$5000,A288,'Turn Log'!$Q$5:$Q$5000,"Pass"),""))</f>
        <v/>
      </c>
      <c r="I288" s="56">
        <f>IF(A288="","",IFERROR(MAXIFS('Turn Log'!$C$5:$C$5000,'Turn Log'!$B$5:$B$5000,A288),""))</f>
        <v/>
      </c>
      <c r="J288" s="56">
        <f>IF(A288="","",IFERROR(INDEX('Turn Log'!$Q$5:$Q$5000,MATCH(1,('Turn Log'!$B$5:$B$5000=A288)*('Turn Log'!$C$5:$C$5000=I288),0)),""))</f>
        <v/>
      </c>
      <c r="K288" s="56">
        <f>IF(A288="","",IFERROR(INDEX('Turn Log'!$R$5:$R$5000,MATCH(1,('Turn Log'!$B$5:$B$5000=A288)*('Turn Log'!$C$5:$C$5000=I288),0)),""))</f>
        <v/>
      </c>
      <c r="L288" s="56">
        <f>IF(A288="","",COUNTIFS('Turn Log'!$B$5:$B$5000,A288,'Turn Log'!$X$5:$X$5000,1))</f>
        <v/>
      </c>
      <c r="M288" s="56">
        <f>IF(A288="","",COUNTIFS('Turn Log'!$B$5:$B$5000,A288,'Turn Log'!$Y$5:$Y$5000,1))</f>
        <v/>
      </c>
      <c r="N288" s="56">
        <f>IF(A288="","",COUNTIFS('Turn Log'!$B$5:$B$5000,A288,'Turn Log'!$W$5:$W$5000,1))</f>
        <v/>
      </c>
      <c r="O288" s="56">
        <f>IF(H288="","No","Yes")</f>
        <v/>
      </c>
      <c r="P288" s="56">
        <f>IF(A288="","",COUNTIFS('Stability Checks'!$A$5:$A$2000,A288,'Stability Checks'!$C$5:$C$2000,"Re-execution",'Stability Checks'!$E$5:$E$2000,"Pass"))</f>
        <v/>
      </c>
      <c r="Q288" s="56">
        <f>IF(A288="","",COUNTIFS('Stability Checks'!$A$5:$A$2000,A288,'Stability Checks'!$C$5:$C$2000,"Re-prompt",'Stability Checks'!$E$5:$E$2000,"Pass"))</f>
        <v/>
      </c>
      <c r="R288" s="47">
        <f>IF(A288="","",'Run Plan'!Q288)</f>
        <v/>
      </c>
      <c r="S288" s="50" t="n"/>
    </row>
    <row r="289" ht="15.75" customHeight="1" s="40">
      <c r="A289" s="55">
        <f>IF('Run Plan'!A289="","",'Run Plan'!A289)</f>
        <v/>
      </c>
      <c r="B289" s="55">
        <f>IF(A289="","",'Run Plan'!C289)</f>
        <v/>
      </c>
      <c r="C289" s="55">
        <f>IF(A289="","",'Run Plan'!E289)</f>
        <v/>
      </c>
      <c r="D289" s="54">
        <f>IF(A289="","",'Run Plan'!G289)</f>
        <v/>
      </c>
      <c r="E289" s="47">
        <f>IF(A289="","",'Run Plan'!K289)</f>
        <v/>
      </c>
      <c r="F289" s="47">
        <f>IF(A289="","",'Run Plan'!J289)</f>
        <v/>
      </c>
      <c r="G289" s="56">
        <f>IF(A289="","",COUNTIF('Turn Log'!$B$5:$B$5000,A289))</f>
        <v/>
      </c>
      <c r="H289" s="56">
        <f>IF(A289="","",IFERROR(MINIFS('Turn Log'!$C$5:$C$5000,'Turn Log'!$B$5:$B$5000,A289,'Turn Log'!$Q$5:$Q$5000,"Pass"),""))</f>
        <v/>
      </c>
      <c r="I289" s="56">
        <f>IF(A289="","",IFERROR(MAXIFS('Turn Log'!$C$5:$C$5000,'Turn Log'!$B$5:$B$5000,A289),""))</f>
        <v/>
      </c>
      <c r="J289" s="56">
        <f>IF(A289="","",IFERROR(INDEX('Turn Log'!$Q$5:$Q$5000,MATCH(1,('Turn Log'!$B$5:$B$5000=A289)*('Turn Log'!$C$5:$C$5000=I289),0)),""))</f>
        <v/>
      </c>
      <c r="K289" s="56">
        <f>IF(A289="","",IFERROR(INDEX('Turn Log'!$R$5:$R$5000,MATCH(1,('Turn Log'!$B$5:$B$5000=A289)*('Turn Log'!$C$5:$C$5000=I289),0)),""))</f>
        <v/>
      </c>
      <c r="L289" s="56">
        <f>IF(A289="","",COUNTIFS('Turn Log'!$B$5:$B$5000,A289,'Turn Log'!$X$5:$X$5000,1))</f>
        <v/>
      </c>
      <c r="M289" s="56">
        <f>IF(A289="","",COUNTIFS('Turn Log'!$B$5:$B$5000,A289,'Turn Log'!$Y$5:$Y$5000,1))</f>
        <v/>
      </c>
      <c r="N289" s="56">
        <f>IF(A289="","",COUNTIFS('Turn Log'!$B$5:$B$5000,A289,'Turn Log'!$W$5:$W$5000,1))</f>
        <v/>
      </c>
      <c r="O289" s="56">
        <f>IF(H289="","No","Yes")</f>
        <v/>
      </c>
      <c r="P289" s="56">
        <f>IF(A289="","",COUNTIFS('Stability Checks'!$A$5:$A$2000,A289,'Stability Checks'!$C$5:$C$2000,"Re-execution",'Stability Checks'!$E$5:$E$2000,"Pass"))</f>
        <v/>
      </c>
      <c r="Q289" s="56">
        <f>IF(A289="","",COUNTIFS('Stability Checks'!$A$5:$A$2000,A289,'Stability Checks'!$C$5:$C$2000,"Re-prompt",'Stability Checks'!$E$5:$E$2000,"Pass"))</f>
        <v/>
      </c>
      <c r="R289" s="47">
        <f>IF(A289="","",'Run Plan'!Q289)</f>
        <v/>
      </c>
      <c r="S289" s="50" t="n"/>
    </row>
    <row r="290" ht="15.75" customHeight="1" s="40">
      <c r="A290" s="55">
        <f>IF('Run Plan'!A290="","",'Run Plan'!A290)</f>
        <v/>
      </c>
      <c r="B290" s="55">
        <f>IF(A290="","",'Run Plan'!C290)</f>
        <v/>
      </c>
      <c r="C290" s="55">
        <f>IF(A290="","",'Run Plan'!E290)</f>
        <v/>
      </c>
      <c r="D290" s="54">
        <f>IF(A290="","",'Run Plan'!G290)</f>
        <v/>
      </c>
      <c r="E290" s="47">
        <f>IF(A290="","",'Run Plan'!K290)</f>
        <v/>
      </c>
      <c r="F290" s="47">
        <f>IF(A290="","",'Run Plan'!J290)</f>
        <v/>
      </c>
      <c r="G290" s="56">
        <f>IF(A290="","",COUNTIF('Turn Log'!$B$5:$B$5000,A290))</f>
        <v/>
      </c>
      <c r="H290" s="56">
        <f>IF(A290="","",IFERROR(MINIFS('Turn Log'!$C$5:$C$5000,'Turn Log'!$B$5:$B$5000,A290,'Turn Log'!$Q$5:$Q$5000,"Pass"),""))</f>
        <v/>
      </c>
      <c r="I290" s="56">
        <f>IF(A290="","",IFERROR(MAXIFS('Turn Log'!$C$5:$C$5000,'Turn Log'!$B$5:$B$5000,A290),""))</f>
        <v/>
      </c>
      <c r="J290" s="56">
        <f>IF(A290="","",IFERROR(INDEX('Turn Log'!$Q$5:$Q$5000,MATCH(1,('Turn Log'!$B$5:$B$5000=A290)*('Turn Log'!$C$5:$C$5000=I290),0)),""))</f>
        <v/>
      </c>
      <c r="K290" s="56">
        <f>IF(A290="","",IFERROR(INDEX('Turn Log'!$R$5:$R$5000,MATCH(1,('Turn Log'!$B$5:$B$5000=A290)*('Turn Log'!$C$5:$C$5000=I290),0)),""))</f>
        <v/>
      </c>
      <c r="L290" s="56">
        <f>IF(A290="","",COUNTIFS('Turn Log'!$B$5:$B$5000,A290,'Turn Log'!$X$5:$X$5000,1))</f>
        <v/>
      </c>
      <c r="M290" s="56">
        <f>IF(A290="","",COUNTIFS('Turn Log'!$B$5:$B$5000,A290,'Turn Log'!$Y$5:$Y$5000,1))</f>
        <v/>
      </c>
      <c r="N290" s="56">
        <f>IF(A290="","",COUNTIFS('Turn Log'!$B$5:$B$5000,A290,'Turn Log'!$W$5:$W$5000,1))</f>
        <v/>
      </c>
      <c r="O290" s="56">
        <f>IF(H290="","No","Yes")</f>
        <v/>
      </c>
      <c r="P290" s="56">
        <f>IF(A290="","",COUNTIFS('Stability Checks'!$A$5:$A$2000,A290,'Stability Checks'!$C$5:$C$2000,"Re-execution",'Stability Checks'!$E$5:$E$2000,"Pass"))</f>
        <v/>
      </c>
      <c r="Q290" s="56">
        <f>IF(A290="","",COUNTIFS('Stability Checks'!$A$5:$A$2000,A290,'Stability Checks'!$C$5:$C$2000,"Re-prompt",'Stability Checks'!$E$5:$E$2000,"Pass"))</f>
        <v/>
      </c>
      <c r="R290" s="47">
        <f>IF(A290="","",'Run Plan'!Q290)</f>
        <v/>
      </c>
      <c r="S290" s="50" t="n"/>
    </row>
    <row r="291" ht="15.75" customHeight="1" s="40">
      <c r="A291" s="55">
        <f>IF('Run Plan'!A291="","",'Run Plan'!A291)</f>
        <v/>
      </c>
      <c r="B291" s="55">
        <f>IF(A291="","",'Run Plan'!C291)</f>
        <v/>
      </c>
      <c r="C291" s="55">
        <f>IF(A291="","",'Run Plan'!E291)</f>
        <v/>
      </c>
      <c r="D291" s="54">
        <f>IF(A291="","",'Run Plan'!G291)</f>
        <v/>
      </c>
      <c r="E291" s="47">
        <f>IF(A291="","",'Run Plan'!K291)</f>
        <v/>
      </c>
      <c r="F291" s="47">
        <f>IF(A291="","",'Run Plan'!J291)</f>
        <v/>
      </c>
      <c r="G291" s="56">
        <f>IF(A291="","",COUNTIF('Turn Log'!$B$5:$B$5000,A291))</f>
        <v/>
      </c>
      <c r="H291" s="56">
        <f>IF(A291="","",IFERROR(MINIFS('Turn Log'!$C$5:$C$5000,'Turn Log'!$B$5:$B$5000,A291,'Turn Log'!$Q$5:$Q$5000,"Pass"),""))</f>
        <v/>
      </c>
      <c r="I291" s="56">
        <f>IF(A291="","",IFERROR(MAXIFS('Turn Log'!$C$5:$C$5000,'Turn Log'!$B$5:$B$5000,A291),""))</f>
        <v/>
      </c>
      <c r="J291" s="56">
        <f>IF(A291="","",IFERROR(INDEX('Turn Log'!$Q$5:$Q$5000,MATCH(1,('Turn Log'!$B$5:$B$5000=A291)*('Turn Log'!$C$5:$C$5000=I291),0)),""))</f>
        <v/>
      </c>
      <c r="K291" s="56">
        <f>IF(A291="","",IFERROR(INDEX('Turn Log'!$R$5:$R$5000,MATCH(1,('Turn Log'!$B$5:$B$5000=A291)*('Turn Log'!$C$5:$C$5000=I291),0)),""))</f>
        <v/>
      </c>
      <c r="L291" s="56">
        <f>IF(A291="","",COUNTIFS('Turn Log'!$B$5:$B$5000,A291,'Turn Log'!$X$5:$X$5000,1))</f>
        <v/>
      </c>
      <c r="M291" s="56">
        <f>IF(A291="","",COUNTIFS('Turn Log'!$B$5:$B$5000,A291,'Turn Log'!$Y$5:$Y$5000,1))</f>
        <v/>
      </c>
      <c r="N291" s="56">
        <f>IF(A291="","",COUNTIFS('Turn Log'!$B$5:$B$5000,A291,'Turn Log'!$W$5:$W$5000,1))</f>
        <v/>
      </c>
      <c r="O291" s="56">
        <f>IF(H291="","No","Yes")</f>
        <v/>
      </c>
      <c r="P291" s="56">
        <f>IF(A291="","",COUNTIFS('Stability Checks'!$A$5:$A$2000,A291,'Stability Checks'!$C$5:$C$2000,"Re-execution",'Stability Checks'!$E$5:$E$2000,"Pass"))</f>
        <v/>
      </c>
      <c r="Q291" s="56">
        <f>IF(A291="","",COUNTIFS('Stability Checks'!$A$5:$A$2000,A291,'Stability Checks'!$C$5:$C$2000,"Re-prompt",'Stability Checks'!$E$5:$E$2000,"Pass"))</f>
        <v/>
      </c>
      <c r="R291" s="47">
        <f>IF(A291="","",'Run Plan'!Q291)</f>
        <v/>
      </c>
      <c r="S291" s="50" t="n"/>
    </row>
    <row r="292" ht="15.75" customHeight="1" s="40">
      <c r="A292" s="55">
        <f>IF('Run Plan'!A292="","",'Run Plan'!A292)</f>
        <v/>
      </c>
      <c r="B292" s="55">
        <f>IF(A292="","",'Run Plan'!C292)</f>
        <v/>
      </c>
      <c r="C292" s="55">
        <f>IF(A292="","",'Run Plan'!E292)</f>
        <v/>
      </c>
      <c r="D292" s="54">
        <f>IF(A292="","",'Run Plan'!G292)</f>
        <v/>
      </c>
      <c r="E292" s="47">
        <f>IF(A292="","",'Run Plan'!K292)</f>
        <v/>
      </c>
      <c r="F292" s="47">
        <f>IF(A292="","",'Run Plan'!J292)</f>
        <v/>
      </c>
      <c r="G292" s="56">
        <f>IF(A292="","",COUNTIF('Turn Log'!$B$5:$B$5000,A292))</f>
        <v/>
      </c>
      <c r="H292" s="56">
        <f>IF(A292="","",IFERROR(MINIFS('Turn Log'!$C$5:$C$5000,'Turn Log'!$B$5:$B$5000,A292,'Turn Log'!$Q$5:$Q$5000,"Pass"),""))</f>
        <v/>
      </c>
      <c r="I292" s="56">
        <f>IF(A292="","",IFERROR(MAXIFS('Turn Log'!$C$5:$C$5000,'Turn Log'!$B$5:$B$5000,A292),""))</f>
        <v/>
      </c>
      <c r="J292" s="56">
        <f>IF(A292="","",IFERROR(INDEX('Turn Log'!$Q$5:$Q$5000,MATCH(1,('Turn Log'!$B$5:$B$5000=A292)*('Turn Log'!$C$5:$C$5000=I292),0)),""))</f>
        <v/>
      </c>
      <c r="K292" s="56">
        <f>IF(A292="","",IFERROR(INDEX('Turn Log'!$R$5:$R$5000,MATCH(1,('Turn Log'!$B$5:$B$5000=A292)*('Turn Log'!$C$5:$C$5000=I292),0)),""))</f>
        <v/>
      </c>
      <c r="L292" s="56">
        <f>IF(A292="","",COUNTIFS('Turn Log'!$B$5:$B$5000,A292,'Turn Log'!$X$5:$X$5000,1))</f>
        <v/>
      </c>
      <c r="M292" s="56">
        <f>IF(A292="","",COUNTIFS('Turn Log'!$B$5:$B$5000,A292,'Turn Log'!$Y$5:$Y$5000,1))</f>
        <v/>
      </c>
      <c r="N292" s="56">
        <f>IF(A292="","",COUNTIFS('Turn Log'!$B$5:$B$5000,A292,'Turn Log'!$W$5:$W$5000,1))</f>
        <v/>
      </c>
      <c r="O292" s="56">
        <f>IF(H292="","No","Yes")</f>
        <v/>
      </c>
      <c r="P292" s="56">
        <f>IF(A292="","",COUNTIFS('Stability Checks'!$A$5:$A$2000,A292,'Stability Checks'!$C$5:$C$2000,"Re-execution",'Stability Checks'!$E$5:$E$2000,"Pass"))</f>
        <v/>
      </c>
      <c r="Q292" s="56">
        <f>IF(A292="","",COUNTIFS('Stability Checks'!$A$5:$A$2000,A292,'Stability Checks'!$C$5:$C$2000,"Re-prompt",'Stability Checks'!$E$5:$E$2000,"Pass"))</f>
        <v/>
      </c>
      <c r="R292" s="47">
        <f>IF(A292="","",'Run Plan'!Q292)</f>
        <v/>
      </c>
      <c r="S292" s="50" t="n"/>
    </row>
    <row r="293" ht="15.75" customHeight="1" s="40">
      <c r="A293" s="55">
        <f>IF('Run Plan'!A293="","",'Run Plan'!A293)</f>
        <v/>
      </c>
      <c r="B293" s="55">
        <f>IF(A293="","",'Run Plan'!C293)</f>
        <v/>
      </c>
      <c r="C293" s="55">
        <f>IF(A293="","",'Run Plan'!E293)</f>
        <v/>
      </c>
      <c r="D293" s="54">
        <f>IF(A293="","",'Run Plan'!G293)</f>
        <v/>
      </c>
      <c r="E293" s="47">
        <f>IF(A293="","",'Run Plan'!K293)</f>
        <v/>
      </c>
      <c r="F293" s="47">
        <f>IF(A293="","",'Run Plan'!J293)</f>
        <v/>
      </c>
      <c r="G293" s="56">
        <f>IF(A293="","",COUNTIF('Turn Log'!$B$5:$B$5000,A293))</f>
        <v/>
      </c>
      <c r="H293" s="56">
        <f>IF(A293="","",IFERROR(MINIFS('Turn Log'!$C$5:$C$5000,'Turn Log'!$B$5:$B$5000,A293,'Turn Log'!$Q$5:$Q$5000,"Pass"),""))</f>
        <v/>
      </c>
      <c r="I293" s="56">
        <f>IF(A293="","",IFERROR(MAXIFS('Turn Log'!$C$5:$C$5000,'Turn Log'!$B$5:$B$5000,A293),""))</f>
        <v/>
      </c>
      <c r="J293" s="56">
        <f>IF(A293="","",IFERROR(INDEX('Turn Log'!$Q$5:$Q$5000,MATCH(1,('Turn Log'!$B$5:$B$5000=A293)*('Turn Log'!$C$5:$C$5000=I293),0)),""))</f>
        <v/>
      </c>
      <c r="K293" s="56">
        <f>IF(A293="","",IFERROR(INDEX('Turn Log'!$R$5:$R$5000,MATCH(1,('Turn Log'!$B$5:$B$5000=A293)*('Turn Log'!$C$5:$C$5000=I293),0)),""))</f>
        <v/>
      </c>
      <c r="L293" s="56">
        <f>IF(A293="","",COUNTIFS('Turn Log'!$B$5:$B$5000,A293,'Turn Log'!$X$5:$X$5000,1))</f>
        <v/>
      </c>
      <c r="M293" s="56">
        <f>IF(A293="","",COUNTIFS('Turn Log'!$B$5:$B$5000,A293,'Turn Log'!$Y$5:$Y$5000,1))</f>
        <v/>
      </c>
      <c r="N293" s="56">
        <f>IF(A293="","",COUNTIFS('Turn Log'!$B$5:$B$5000,A293,'Turn Log'!$W$5:$W$5000,1))</f>
        <v/>
      </c>
      <c r="O293" s="56">
        <f>IF(H293="","No","Yes")</f>
        <v/>
      </c>
      <c r="P293" s="56">
        <f>IF(A293="","",COUNTIFS('Stability Checks'!$A$5:$A$2000,A293,'Stability Checks'!$C$5:$C$2000,"Re-execution",'Stability Checks'!$E$5:$E$2000,"Pass"))</f>
        <v/>
      </c>
      <c r="Q293" s="56">
        <f>IF(A293="","",COUNTIFS('Stability Checks'!$A$5:$A$2000,A293,'Stability Checks'!$C$5:$C$2000,"Re-prompt",'Stability Checks'!$E$5:$E$2000,"Pass"))</f>
        <v/>
      </c>
      <c r="R293" s="47">
        <f>IF(A293="","",'Run Plan'!Q293)</f>
        <v/>
      </c>
      <c r="S293" s="50" t="n"/>
    </row>
    <row r="294" ht="15.75" customHeight="1" s="40">
      <c r="A294" s="55">
        <f>IF('Run Plan'!A294="","",'Run Plan'!A294)</f>
        <v/>
      </c>
      <c r="B294" s="55">
        <f>IF(A294="","",'Run Plan'!C294)</f>
        <v/>
      </c>
      <c r="C294" s="55">
        <f>IF(A294="","",'Run Plan'!E294)</f>
        <v/>
      </c>
      <c r="D294" s="54">
        <f>IF(A294="","",'Run Plan'!G294)</f>
        <v/>
      </c>
      <c r="E294" s="47">
        <f>IF(A294="","",'Run Plan'!K294)</f>
        <v/>
      </c>
      <c r="F294" s="47">
        <f>IF(A294="","",'Run Plan'!J294)</f>
        <v/>
      </c>
      <c r="G294" s="56">
        <f>IF(A294="","",COUNTIF('Turn Log'!$B$5:$B$5000,A294))</f>
        <v/>
      </c>
      <c r="H294" s="56">
        <f>IF(A294="","",IFERROR(MINIFS('Turn Log'!$C$5:$C$5000,'Turn Log'!$B$5:$B$5000,A294,'Turn Log'!$Q$5:$Q$5000,"Pass"),""))</f>
        <v/>
      </c>
      <c r="I294" s="56">
        <f>IF(A294="","",IFERROR(MAXIFS('Turn Log'!$C$5:$C$5000,'Turn Log'!$B$5:$B$5000,A294),""))</f>
        <v/>
      </c>
      <c r="J294" s="56">
        <f>IF(A294="","",IFERROR(INDEX('Turn Log'!$Q$5:$Q$5000,MATCH(1,('Turn Log'!$B$5:$B$5000=A294)*('Turn Log'!$C$5:$C$5000=I294),0)),""))</f>
        <v/>
      </c>
      <c r="K294" s="56">
        <f>IF(A294="","",IFERROR(INDEX('Turn Log'!$R$5:$R$5000,MATCH(1,('Turn Log'!$B$5:$B$5000=A294)*('Turn Log'!$C$5:$C$5000=I294),0)),""))</f>
        <v/>
      </c>
      <c r="L294" s="56">
        <f>IF(A294="","",COUNTIFS('Turn Log'!$B$5:$B$5000,A294,'Turn Log'!$X$5:$X$5000,1))</f>
        <v/>
      </c>
      <c r="M294" s="56">
        <f>IF(A294="","",COUNTIFS('Turn Log'!$B$5:$B$5000,A294,'Turn Log'!$Y$5:$Y$5000,1))</f>
        <v/>
      </c>
      <c r="N294" s="56">
        <f>IF(A294="","",COUNTIFS('Turn Log'!$B$5:$B$5000,A294,'Turn Log'!$W$5:$W$5000,1))</f>
        <v/>
      </c>
      <c r="O294" s="56">
        <f>IF(H294="","No","Yes")</f>
        <v/>
      </c>
      <c r="P294" s="56">
        <f>IF(A294="","",COUNTIFS('Stability Checks'!$A$5:$A$2000,A294,'Stability Checks'!$C$5:$C$2000,"Re-execution",'Stability Checks'!$E$5:$E$2000,"Pass"))</f>
        <v/>
      </c>
      <c r="Q294" s="56">
        <f>IF(A294="","",COUNTIFS('Stability Checks'!$A$5:$A$2000,A294,'Stability Checks'!$C$5:$C$2000,"Re-prompt",'Stability Checks'!$E$5:$E$2000,"Pass"))</f>
        <v/>
      </c>
      <c r="R294" s="47">
        <f>IF(A294="","",'Run Plan'!Q294)</f>
        <v/>
      </c>
      <c r="S294" s="50" t="n"/>
    </row>
    <row r="295" ht="15.75" customHeight="1" s="40">
      <c r="A295" s="55">
        <f>IF('Run Plan'!A295="","",'Run Plan'!A295)</f>
        <v/>
      </c>
      <c r="B295" s="55">
        <f>IF(A295="","",'Run Plan'!C295)</f>
        <v/>
      </c>
      <c r="C295" s="55">
        <f>IF(A295="","",'Run Plan'!E295)</f>
        <v/>
      </c>
      <c r="D295" s="54">
        <f>IF(A295="","",'Run Plan'!G295)</f>
        <v/>
      </c>
      <c r="E295" s="47">
        <f>IF(A295="","",'Run Plan'!K295)</f>
        <v/>
      </c>
      <c r="F295" s="47">
        <f>IF(A295="","",'Run Plan'!J295)</f>
        <v/>
      </c>
      <c r="G295" s="56">
        <f>IF(A295="","",COUNTIF('Turn Log'!$B$5:$B$5000,A295))</f>
        <v/>
      </c>
      <c r="H295" s="56">
        <f>IF(A295="","",IFERROR(MINIFS('Turn Log'!$C$5:$C$5000,'Turn Log'!$B$5:$B$5000,A295,'Turn Log'!$Q$5:$Q$5000,"Pass"),""))</f>
        <v/>
      </c>
      <c r="I295" s="56">
        <f>IF(A295="","",IFERROR(MAXIFS('Turn Log'!$C$5:$C$5000,'Turn Log'!$B$5:$B$5000,A295),""))</f>
        <v/>
      </c>
      <c r="J295" s="56">
        <f>IF(A295="","",IFERROR(INDEX('Turn Log'!$Q$5:$Q$5000,MATCH(1,('Turn Log'!$B$5:$B$5000=A295)*('Turn Log'!$C$5:$C$5000=I295),0)),""))</f>
        <v/>
      </c>
      <c r="K295" s="56">
        <f>IF(A295="","",IFERROR(INDEX('Turn Log'!$R$5:$R$5000,MATCH(1,('Turn Log'!$B$5:$B$5000=A295)*('Turn Log'!$C$5:$C$5000=I295),0)),""))</f>
        <v/>
      </c>
      <c r="L295" s="56">
        <f>IF(A295="","",COUNTIFS('Turn Log'!$B$5:$B$5000,A295,'Turn Log'!$X$5:$X$5000,1))</f>
        <v/>
      </c>
      <c r="M295" s="56">
        <f>IF(A295="","",COUNTIFS('Turn Log'!$B$5:$B$5000,A295,'Turn Log'!$Y$5:$Y$5000,1))</f>
        <v/>
      </c>
      <c r="N295" s="56">
        <f>IF(A295="","",COUNTIFS('Turn Log'!$B$5:$B$5000,A295,'Turn Log'!$W$5:$W$5000,1))</f>
        <v/>
      </c>
      <c r="O295" s="56">
        <f>IF(H295="","No","Yes")</f>
        <v/>
      </c>
      <c r="P295" s="56">
        <f>IF(A295="","",COUNTIFS('Stability Checks'!$A$5:$A$2000,A295,'Stability Checks'!$C$5:$C$2000,"Re-execution",'Stability Checks'!$E$5:$E$2000,"Pass"))</f>
        <v/>
      </c>
      <c r="Q295" s="56">
        <f>IF(A295="","",COUNTIFS('Stability Checks'!$A$5:$A$2000,A295,'Stability Checks'!$C$5:$C$2000,"Re-prompt",'Stability Checks'!$E$5:$E$2000,"Pass"))</f>
        <v/>
      </c>
      <c r="R295" s="47">
        <f>IF(A295="","",'Run Plan'!Q295)</f>
        <v/>
      </c>
      <c r="S295" s="50" t="n"/>
    </row>
    <row r="296" ht="15.75" customHeight="1" s="40">
      <c r="A296" s="55">
        <f>IF('Run Plan'!A296="","",'Run Plan'!A296)</f>
        <v/>
      </c>
      <c r="B296" s="55">
        <f>IF(A296="","",'Run Plan'!C296)</f>
        <v/>
      </c>
      <c r="C296" s="55">
        <f>IF(A296="","",'Run Plan'!E296)</f>
        <v/>
      </c>
      <c r="D296" s="54">
        <f>IF(A296="","",'Run Plan'!G296)</f>
        <v/>
      </c>
      <c r="E296" s="47">
        <f>IF(A296="","",'Run Plan'!K296)</f>
        <v/>
      </c>
      <c r="F296" s="47">
        <f>IF(A296="","",'Run Plan'!J296)</f>
        <v/>
      </c>
      <c r="G296" s="56">
        <f>IF(A296="","",COUNTIF('Turn Log'!$B$5:$B$5000,A296))</f>
        <v/>
      </c>
      <c r="H296" s="56">
        <f>IF(A296="","",IFERROR(MINIFS('Turn Log'!$C$5:$C$5000,'Turn Log'!$B$5:$B$5000,A296,'Turn Log'!$Q$5:$Q$5000,"Pass"),""))</f>
        <v/>
      </c>
      <c r="I296" s="56">
        <f>IF(A296="","",IFERROR(MAXIFS('Turn Log'!$C$5:$C$5000,'Turn Log'!$B$5:$B$5000,A296),""))</f>
        <v/>
      </c>
      <c r="J296" s="56">
        <f>IF(A296="","",IFERROR(INDEX('Turn Log'!$Q$5:$Q$5000,MATCH(1,('Turn Log'!$B$5:$B$5000=A296)*('Turn Log'!$C$5:$C$5000=I296),0)),""))</f>
        <v/>
      </c>
      <c r="K296" s="56">
        <f>IF(A296="","",IFERROR(INDEX('Turn Log'!$R$5:$R$5000,MATCH(1,('Turn Log'!$B$5:$B$5000=A296)*('Turn Log'!$C$5:$C$5000=I296),0)),""))</f>
        <v/>
      </c>
      <c r="L296" s="56">
        <f>IF(A296="","",COUNTIFS('Turn Log'!$B$5:$B$5000,A296,'Turn Log'!$X$5:$X$5000,1))</f>
        <v/>
      </c>
      <c r="M296" s="56">
        <f>IF(A296="","",COUNTIFS('Turn Log'!$B$5:$B$5000,A296,'Turn Log'!$Y$5:$Y$5000,1))</f>
        <v/>
      </c>
      <c r="N296" s="56">
        <f>IF(A296="","",COUNTIFS('Turn Log'!$B$5:$B$5000,A296,'Turn Log'!$W$5:$W$5000,1))</f>
        <v/>
      </c>
      <c r="O296" s="56">
        <f>IF(H296="","No","Yes")</f>
        <v/>
      </c>
      <c r="P296" s="56">
        <f>IF(A296="","",COUNTIFS('Stability Checks'!$A$5:$A$2000,A296,'Stability Checks'!$C$5:$C$2000,"Re-execution",'Stability Checks'!$E$5:$E$2000,"Pass"))</f>
        <v/>
      </c>
      <c r="Q296" s="56">
        <f>IF(A296="","",COUNTIFS('Stability Checks'!$A$5:$A$2000,A296,'Stability Checks'!$C$5:$C$2000,"Re-prompt",'Stability Checks'!$E$5:$E$2000,"Pass"))</f>
        <v/>
      </c>
      <c r="R296" s="47">
        <f>IF(A296="","",'Run Plan'!Q296)</f>
        <v/>
      </c>
      <c r="S296" s="50" t="n"/>
    </row>
    <row r="297" ht="15.75" customHeight="1" s="40">
      <c r="A297" s="55">
        <f>IF('Run Plan'!A297="","",'Run Plan'!A297)</f>
        <v/>
      </c>
      <c r="B297" s="55">
        <f>IF(A297="","",'Run Plan'!C297)</f>
        <v/>
      </c>
      <c r="C297" s="55">
        <f>IF(A297="","",'Run Plan'!E297)</f>
        <v/>
      </c>
      <c r="D297" s="54">
        <f>IF(A297="","",'Run Plan'!G297)</f>
        <v/>
      </c>
      <c r="E297" s="47">
        <f>IF(A297="","",'Run Plan'!K297)</f>
        <v/>
      </c>
      <c r="F297" s="47">
        <f>IF(A297="","",'Run Plan'!J297)</f>
        <v/>
      </c>
      <c r="G297" s="56">
        <f>IF(A297="","",COUNTIF('Turn Log'!$B$5:$B$5000,A297))</f>
        <v/>
      </c>
      <c r="H297" s="56">
        <f>IF(A297="","",IFERROR(MINIFS('Turn Log'!$C$5:$C$5000,'Turn Log'!$B$5:$B$5000,A297,'Turn Log'!$Q$5:$Q$5000,"Pass"),""))</f>
        <v/>
      </c>
      <c r="I297" s="56">
        <f>IF(A297="","",IFERROR(MAXIFS('Turn Log'!$C$5:$C$5000,'Turn Log'!$B$5:$B$5000,A297),""))</f>
        <v/>
      </c>
      <c r="J297" s="56">
        <f>IF(A297="","",IFERROR(INDEX('Turn Log'!$Q$5:$Q$5000,MATCH(1,('Turn Log'!$B$5:$B$5000=A297)*('Turn Log'!$C$5:$C$5000=I297),0)),""))</f>
        <v/>
      </c>
      <c r="K297" s="56">
        <f>IF(A297="","",IFERROR(INDEX('Turn Log'!$R$5:$R$5000,MATCH(1,('Turn Log'!$B$5:$B$5000=A297)*('Turn Log'!$C$5:$C$5000=I297),0)),""))</f>
        <v/>
      </c>
      <c r="L297" s="56">
        <f>IF(A297="","",COUNTIFS('Turn Log'!$B$5:$B$5000,A297,'Turn Log'!$X$5:$X$5000,1))</f>
        <v/>
      </c>
      <c r="M297" s="56">
        <f>IF(A297="","",COUNTIFS('Turn Log'!$B$5:$B$5000,A297,'Turn Log'!$Y$5:$Y$5000,1))</f>
        <v/>
      </c>
      <c r="N297" s="56">
        <f>IF(A297="","",COUNTIFS('Turn Log'!$B$5:$B$5000,A297,'Turn Log'!$W$5:$W$5000,1))</f>
        <v/>
      </c>
      <c r="O297" s="56">
        <f>IF(H297="","No","Yes")</f>
        <v/>
      </c>
      <c r="P297" s="56">
        <f>IF(A297="","",COUNTIFS('Stability Checks'!$A$5:$A$2000,A297,'Stability Checks'!$C$5:$C$2000,"Re-execution",'Stability Checks'!$E$5:$E$2000,"Pass"))</f>
        <v/>
      </c>
      <c r="Q297" s="56">
        <f>IF(A297="","",COUNTIFS('Stability Checks'!$A$5:$A$2000,A297,'Stability Checks'!$C$5:$C$2000,"Re-prompt",'Stability Checks'!$E$5:$E$2000,"Pass"))</f>
        <v/>
      </c>
      <c r="R297" s="47">
        <f>IF(A297="","",'Run Plan'!Q297)</f>
        <v/>
      </c>
      <c r="S297" s="50" t="n"/>
    </row>
    <row r="298" ht="15.75" customHeight="1" s="40">
      <c r="A298" s="55">
        <f>IF('Run Plan'!A298="","",'Run Plan'!A298)</f>
        <v/>
      </c>
      <c r="B298" s="55">
        <f>IF(A298="","",'Run Plan'!C298)</f>
        <v/>
      </c>
      <c r="C298" s="55">
        <f>IF(A298="","",'Run Plan'!E298)</f>
        <v/>
      </c>
      <c r="D298" s="54">
        <f>IF(A298="","",'Run Plan'!G298)</f>
        <v/>
      </c>
      <c r="E298" s="47">
        <f>IF(A298="","",'Run Plan'!K298)</f>
        <v/>
      </c>
      <c r="F298" s="47">
        <f>IF(A298="","",'Run Plan'!J298)</f>
        <v/>
      </c>
      <c r="G298" s="56">
        <f>IF(A298="","",COUNTIF('Turn Log'!$B$5:$B$5000,A298))</f>
        <v/>
      </c>
      <c r="H298" s="56">
        <f>IF(A298="","",IFERROR(MINIFS('Turn Log'!$C$5:$C$5000,'Turn Log'!$B$5:$B$5000,A298,'Turn Log'!$Q$5:$Q$5000,"Pass"),""))</f>
        <v/>
      </c>
      <c r="I298" s="56">
        <f>IF(A298="","",IFERROR(MAXIFS('Turn Log'!$C$5:$C$5000,'Turn Log'!$B$5:$B$5000,A298),""))</f>
        <v/>
      </c>
      <c r="J298" s="56">
        <f>IF(A298="","",IFERROR(INDEX('Turn Log'!$Q$5:$Q$5000,MATCH(1,('Turn Log'!$B$5:$B$5000=A298)*('Turn Log'!$C$5:$C$5000=I298),0)),""))</f>
        <v/>
      </c>
      <c r="K298" s="56">
        <f>IF(A298="","",IFERROR(INDEX('Turn Log'!$R$5:$R$5000,MATCH(1,('Turn Log'!$B$5:$B$5000=A298)*('Turn Log'!$C$5:$C$5000=I298),0)),""))</f>
        <v/>
      </c>
      <c r="L298" s="56">
        <f>IF(A298="","",COUNTIFS('Turn Log'!$B$5:$B$5000,A298,'Turn Log'!$X$5:$X$5000,1))</f>
        <v/>
      </c>
      <c r="M298" s="56">
        <f>IF(A298="","",COUNTIFS('Turn Log'!$B$5:$B$5000,A298,'Turn Log'!$Y$5:$Y$5000,1))</f>
        <v/>
      </c>
      <c r="N298" s="56">
        <f>IF(A298="","",COUNTIFS('Turn Log'!$B$5:$B$5000,A298,'Turn Log'!$W$5:$W$5000,1))</f>
        <v/>
      </c>
      <c r="O298" s="56">
        <f>IF(H298="","No","Yes")</f>
        <v/>
      </c>
      <c r="P298" s="56">
        <f>IF(A298="","",COUNTIFS('Stability Checks'!$A$5:$A$2000,A298,'Stability Checks'!$C$5:$C$2000,"Re-execution",'Stability Checks'!$E$5:$E$2000,"Pass"))</f>
        <v/>
      </c>
      <c r="Q298" s="56">
        <f>IF(A298="","",COUNTIFS('Stability Checks'!$A$5:$A$2000,A298,'Stability Checks'!$C$5:$C$2000,"Re-prompt",'Stability Checks'!$E$5:$E$2000,"Pass"))</f>
        <v/>
      </c>
      <c r="R298" s="47">
        <f>IF(A298="","",'Run Plan'!Q298)</f>
        <v/>
      </c>
      <c r="S298" s="50" t="n"/>
    </row>
    <row r="299" ht="15.75" customHeight="1" s="40">
      <c r="A299" s="55">
        <f>IF('Run Plan'!A299="","",'Run Plan'!A299)</f>
        <v/>
      </c>
      <c r="B299" s="55">
        <f>IF(A299="","",'Run Plan'!C299)</f>
        <v/>
      </c>
      <c r="C299" s="55">
        <f>IF(A299="","",'Run Plan'!E299)</f>
        <v/>
      </c>
      <c r="D299" s="54">
        <f>IF(A299="","",'Run Plan'!G299)</f>
        <v/>
      </c>
      <c r="E299" s="47">
        <f>IF(A299="","",'Run Plan'!K299)</f>
        <v/>
      </c>
      <c r="F299" s="47">
        <f>IF(A299="","",'Run Plan'!J299)</f>
        <v/>
      </c>
      <c r="G299" s="56">
        <f>IF(A299="","",COUNTIF('Turn Log'!$B$5:$B$5000,A299))</f>
        <v/>
      </c>
      <c r="H299" s="56">
        <f>IF(A299="","",IFERROR(MINIFS('Turn Log'!$C$5:$C$5000,'Turn Log'!$B$5:$B$5000,A299,'Turn Log'!$Q$5:$Q$5000,"Pass"),""))</f>
        <v/>
      </c>
      <c r="I299" s="56">
        <f>IF(A299="","",IFERROR(MAXIFS('Turn Log'!$C$5:$C$5000,'Turn Log'!$B$5:$B$5000,A299),""))</f>
        <v/>
      </c>
      <c r="J299" s="56">
        <f>IF(A299="","",IFERROR(INDEX('Turn Log'!$Q$5:$Q$5000,MATCH(1,('Turn Log'!$B$5:$B$5000=A299)*('Turn Log'!$C$5:$C$5000=I299),0)),""))</f>
        <v/>
      </c>
      <c r="K299" s="56">
        <f>IF(A299="","",IFERROR(INDEX('Turn Log'!$R$5:$R$5000,MATCH(1,('Turn Log'!$B$5:$B$5000=A299)*('Turn Log'!$C$5:$C$5000=I299),0)),""))</f>
        <v/>
      </c>
      <c r="L299" s="56">
        <f>IF(A299="","",COUNTIFS('Turn Log'!$B$5:$B$5000,A299,'Turn Log'!$X$5:$X$5000,1))</f>
        <v/>
      </c>
      <c r="M299" s="56">
        <f>IF(A299="","",COUNTIFS('Turn Log'!$B$5:$B$5000,A299,'Turn Log'!$Y$5:$Y$5000,1))</f>
        <v/>
      </c>
      <c r="N299" s="56">
        <f>IF(A299="","",COUNTIFS('Turn Log'!$B$5:$B$5000,A299,'Turn Log'!$W$5:$W$5000,1))</f>
        <v/>
      </c>
      <c r="O299" s="56">
        <f>IF(H299="","No","Yes")</f>
        <v/>
      </c>
      <c r="P299" s="56">
        <f>IF(A299="","",COUNTIFS('Stability Checks'!$A$5:$A$2000,A299,'Stability Checks'!$C$5:$C$2000,"Re-execution",'Stability Checks'!$E$5:$E$2000,"Pass"))</f>
        <v/>
      </c>
      <c r="Q299" s="56">
        <f>IF(A299="","",COUNTIFS('Stability Checks'!$A$5:$A$2000,A299,'Stability Checks'!$C$5:$C$2000,"Re-prompt",'Stability Checks'!$E$5:$E$2000,"Pass"))</f>
        <v/>
      </c>
      <c r="R299" s="47">
        <f>IF(A299="","",'Run Plan'!Q299)</f>
        <v/>
      </c>
      <c r="S299" s="50" t="n"/>
    </row>
    <row r="300" ht="15.75" customHeight="1" s="40">
      <c r="A300" s="55">
        <f>IF('Run Plan'!A300="","",'Run Plan'!A300)</f>
        <v/>
      </c>
      <c r="B300" s="55">
        <f>IF(A300="","",'Run Plan'!C300)</f>
        <v/>
      </c>
      <c r="C300" s="55">
        <f>IF(A300="","",'Run Plan'!E300)</f>
        <v/>
      </c>
      <c r="D300" s="54">
        <f>IF(A300="","",'Run Plan'!G300)</f>
        <v/>
      </c>
      <c r="E300" s="47">
        <f>IF(A300="","",'Run Plan'!K300)</f>
        <v/>
      </c>
      <c r="F300" s="47">
        <f>IF(A300="","",'Run Plan'!J300)</f>
        <v/>
      </c>
      <c r="G300" s="56">
        <f>IF(A300="","",COUNTIF('Turn Log'!$B$5:$B$5000,A300))</f>
        <v/>
      </c>
      <c r="H300" s="56">
        <f>IF(A300="","",IFERROR(MINIFS('Turn Log'!$C$5:$C$5000,'Turn Log'!$B$5:$B$5000,A300,'Turn Log'!$Q$5:$Q$5000,"Pass"),""))</f>
        <v/>
      </c>
      <c r="I300" s="56">
        <f>IF(A300="","",IFERROR(MAXIFS('Turn Log'!$C$5:$C$5000,'Turn Log'!$B$5:$B$5000,A300),""))</f>
        <v/>
      </c>
      <c r="J300" s="56">
        <f>IF(A300="","",IFERROR(INDEX('Turn Log'!$Q$5:$Q$5000,MATCH(1,('Turn Log'!$B$5:$B$5000=A300)*('Turn Log'!$C$5:$C$5000=I300),0)),""))</f>
        <v/>
      </c>
      <c r="K300" s="56">
        <f>IF(A300="","",IFERROR(INDEX('Turn Log'!$R$5:$R$5000,MATCH(1,('Turn Log'!$B$5:$B$5000=A300)*('Turn Log'!$C$5:$C$5000=I300),0)),""))</f>
        <v/>
      </c>
      <c r="L300" s="56">
        <f>IF(A300="","",COUNTIFS('Turn Log'!$B$5:$B$5000,A300,'Turn Log'!$X$5:$X$5000,1))</f>
        <v/>
      </c>
      <c r="M300" s="56">
        <f>IF(A300="","",COUNTIFS('Turn Log'!$B$5:$B$5000,A300,'Turn Log'!$Y$5:$Y$5000,1))</f>
        <v/>
      </c>
      <c r="N300" s="56">
        <f>IF(A300="","",COUNTIFS('Turn Log'!$B$5:$B$5000,A300,'Turn Log'!$W$5:$W$5000,1))</f>
        <v/>
      </c>
      <c r="O300" s="56">
        <f>IF(H300="","No","Yes")</f>
        <v/>
      </c>
      <c r="P300" s="56">
        <f>IF(A300="","",COUNTIFS('Stability Checks'!$A$5:$A$2000,A300,'Stability Checks'!$C$5:$C$2000,"Re-execution",'Stability Checks'!$E$5:$E$2000,"Pass"))</f>
        <v/>
      </c>
      <c r="Q300" s="56">
        <f>IF(A300="","",COUNTIFS('Stability Checks'!$A$5:$A$2000,A300,'Stability Checks'!$C$5:$C$2000,"Re-prompt",'Stability Checks'!$E$5:$E$2000,"Pass"))</f>
        <v/>
      </c>
      <c r="R300" s="47">
        <f>IF(A300="","",'Run Plan'!Q300)</f>
        <v/>
      </c>
      <c r="S300" s="50" t="n"/>
    </row>
    <row r="301" ht="15.75" customHeight="1" s="40">
      <c r="A301" s="55">
        <f>IF('Run Plan'!A301="","",'Run Plan'!A301)</f>
        <v/>
      </c>
      <c r="B301" s="55">
        <f>IF(A301="","",'Run Plan'!C301)</f>
        <v/>
      </c>
      <c r="C301" s="55">
        <f>IF(A301="","",'Run Plan'!E301)</f>
        <v/>
      </c>
      <c r="D301" s="54">
        <f>IF(A301="","",'Run Plan'!G301)</f>
        <v/>
      </c>
      <c r="E301" s="47">
        <f>IF(A301="","",'Run Plan'!K301)</f>
        <v/>
      </c>
      <c r="F301" s="47">
        <f>IF(A301="","",'Run Plan'!J301)</f>
        <v/>
      </c>
      <c r="G301" s="56">
        <f>IF(A301="","",COUNTIF('Turn Log'!$B$5:$B$5000,A301))</f>
        <v/>
      </c>
      <c r="H301" s="56">
        <f>IF(A301="","",IFERROR(MINIFS('Turn Log'!$C$5:$C$5000,'Turn Log'!$B$5:$B$5000,A301,'Turn Log'!$Q$5:$Q$5000,"Pass"),""))</f>
        <v/>
      </c>
      <c r="I301" s="56">
        <f>IF(A301="","",IFERROR(MAXIFS('Turn Log'!$C$5:$C$5000,'Turn Log'!$B$5:$B$5000,A301),""))</f>
        <v/>
      </c>
      <c r="J301" s="56">
        <f>IF(A301="","",IFERROR(INDEX('Turn Log'!$Q$5:$Q$5000,MATCH(1,('Turn Log'!$B$5:$B$5000=A301)*('Turn Log'!$C$5:$C$5000=I301),0)),""))</f>
        <v/>
      </c>
      <c r="K301" s="56">
        <f>IF(A301="","",IFERROR(INDEX('Turn Log'!$R$5:$R$5000,MATCH(1,('Turn Log'!$B$5:$B$5000=A301)*('Turn Log'!$C$5:$C$5000=I301),0)),""))</f>
        <v/>
      </c>
      <c r="L301" s="56">
        <f>IF(A301="","",COUNTIFS('Turn Log'!$B$5:$B$5000,A301,'Turn Log'!$X$5:$X$5000,1))</f>
        <v/>
      </c>
      <c r="M301" s="56">
        <f>IF(A301="","",COUNTIFS('Turn Log'!$B$5:$B$5000,A301,'Turn Log'!$Y$5:$Y$5000,1))</f>
        <v/>
      </c>
      <c r="N301" s="56">
        <f>IF(A301="","",COUNTIFS('Turn Log'!$B$5:$B$5000,A301,'Turn Log'!$W$5:$W$5000,1))</f>
        <v/>
      </c>
      <c r="O301" s="56">
        <f>IF(H301="","No","Yes")</f>
        <v/>
      </c>
      <c r="P301" s="56">
        <f>IF(A301="","",COUNTIFS('Stability Checks'!$A$5:$A$2000,A301,'Stability Checks'!$C$5:$C$2000,"Re-execution",'Stability Checks'!$E$5:$E$2000,"Pass"))</f>
        <v/>
      </c>
      <c r="Q301" s="56">
        <f>IF(A301="","",COUNTIFS('Stability Checks'!$A$5:$A$2000,A301,'Stability Checks'!$C$5:$C$2000,"Re-prompt",'Stability Checks'!$E$5:$E$2000,"Pass"))</f>
        <v/>
      </c>
      <c r="R301" s="47">
        <f>IF(A301="","",'Run Plan'!Q301)</f>
        <v/>
      </c>
      <c r="S301" s="50" t="n"/>
    </row>
    <row r="302" ht="15.75" customHeight="1" s="40">
      <c r="A302" s="55">
        <f>IF('Run Plan'!A302="","",'Run Plan'!A302)</f>
        <v/>
      </c>
      <c r="B302" s="55">
        <f>IF(A302="","",'Run Plan'!C302)</f>
        <v/>
      </c>
      <c r="C302" s="55">
        <f>IF(A302="","",'Run Plan'!E302)</f>
        <v/>
      </c>
      <c r="D302" s="54">
        <f>IF(A302="","",'Run Plan'!G302)</f>
        <v/>
      </c>
      <c r="E302" s="47">
        <f>IF(A302="","",'Run Plan'!K302)</f>
        <v/>
      </c>
      <c r="F302" s="47">
        <f>IF(A302="","",'Run Plan'!J302)</f>
        <v/>
      </c>
      <c r="G302" s="56">
        <f>IF(A302="","",COUNTIF('Turn Log'!$B$5:$B$5000,A302))</f>
        <v/>
      </c>
      <c r="H302" s="56">
        <f>IF(A302="","",IFERROR(MINIFS('Turn Log'!$C$5:$C$5000,'Turn Log'!$B$5:$B$5000,A302,'Turn Log'!$Q$5:$Q$5000,"Pass"),""))</f>
        <v/>
      </c>
      <c r="I302" s="56">
        <f>IF(A302="","",IFERROR(MAXIFS('Turn Log'!$C$5:$C$5000,'Turn Log'!$B$5:$B$5000,A302),""))</f>
        <v/>
      </c>
      <c r="J302" s="56">
        <f>IF(A302="","",IFERROR(INDEX('Turn Log'!$Q$5:$Q$5000,MATCH(1,('Turn Log'!$B$5:$B$5000=A302)*('Turn Log'!$C$5:$C$5000=I302),0)),""))</f>
        <v/>
      </c>
      <c r="K302" s="56">
        <f>IF(A302="","",IFERROR(INDEX('Turn Log'!$R$5:$R$5000,MATCH(1,('Turn Log'!$B$5:$B$5000=A302)*('Turn Log'!$C$5:$C$5000=I302),0)),""))</f>
        <v/>
      </c>
      <c r="L302" s="56">
        <f>IF(A302="","",COUNTIFS('Turn Log'!$B$5:$B$5000,A302,'Turn Log'!$X$5:$X$5000,1))</f>
        <v/>
      </c>
      <c r="M302" s="56">
        <f>IF(A302="","",COUNTIFS('Turn Log'!$B$5:$B$5000,A302,'Turn Log'!$Y$5:$Y$5000,1))</f>
        <v/>
      </c>
      <c r="N302" s="56">
        <f>IF(A302="","",COUNTIFS('Turn Log'!$B$5:$B$5000,A302,'Turn Log'!$W$5:$W$5000,1))</f>
        <v/>
      </c>
      <c r="O302" s="56">
        <f>IF(H302="","No","Yes")</f>
        <v/>
      </c>
      <c r="P302" s="56">
        <f>IF(A302="","",COUNTIFS('Stability Checks'!$A$5:$A$2000,A302,'Stability Checks'!$C$5:$C$2000,"Re-execution",'Stability Checks'!$E$5:$E$2000,"Pass"))</f>
        <v/>
      </c>
      <c r="Q302" s="56">
        <f>IF(A302="","",COUNTIFS('Stability Checks'!$A$5:$A$2000,A302,'Stability Checks'!$C$5:$C$2000,"Re-prompt",'Stability Checks'!$E$5:$E$2000,"Pass"))</f>
        <v/>
      </c>
      <c r="R302" s="47">
        <f>IF(A302="","",'Run Plan'!Q302)</f>
        <v/>
      </c>
      <c r="S302" s="50" t="n"/>
    </row>
    <row r="303" ht="15.75" customHeight="1" s="40">
      <c r="A303" s="55">
        <f>IF('Run Plan'!A303="","",'Run Plan'!A303)</f>
        <v/>
      </c>
      <c r="B303" s="55">
        <f>IF(A303="","",'Run Plan'!C303)</f>
        <v/>
      </c>
      <c r="C303" s="55">
        <f>IF(A303="","",'Run Plan'!E303)</f>
        <v/>
      </c>
      <c r="D303" s="54">
        <f>IF(A303="","",'Run Plan'!G303)</f>
        <v/>
      </c>
      <c r="E303" s="47">
        <f>IF(A303="","",'Run Plan'!K303)</f>
        <v/>
      </c>
      <c r="F303" s="47">
        <f>IF(A303="","",'Run Plan'!J303)</f>
        <v/>
      </c>
      <c r="G303" s="56">
        <f>IF(A303="","",COUNTIF('Turn Log'!$B$5:$B$5000,A303))</f>
        <v/>
      </c>
      <c r="H303" s="56">
        <f>IF(A303="","",IFERROR(MINIFS('Turn Log'!$C$5:$C$5000,'Turn Log'!$B$5:$B$5000,A303,'Turn Log'!$Q$5:$Q$5000,"Pass"),""))</f>
        <v/>
      </c>
      <c r="I303" s="56">
        <f>IF(A303="","",IFERROR(MAXIFS('Turn Log'!$C$5:$C$5000,'Turn Log'!$B$5:$B$5000,A303),""))</f>
        <v/>
      </c>
      <c r="J303" s="56">
        <f>IF(A303="","",IFERROR(INDEX('Turn Log'!$Q$5:$Q$5000,MATCH(1,('Turn Log'!$B$5:$B$5000=A303)*('Turn Log'!$C$5:$C$5000=I303),0)),""))</f>
        <v/>
      </c>
      <c r="K303" s="56">
        <f>IF(A303="","",IFERROR(INDEX('Turn Log'!$R$5:$R$5000,MATCH(1,('Turn Log'!$B$5:$B$5000=A303)*('Turn Log'!$C$5:$C$5000=I303),0)),""))</f>
        <v/>
      </c>
      <c r="L303" s="56">
        <f>IF(A303="","",COUNTIFS('Turn Log'!$B$5:$B$5000,A303,'Turn Log'!$X$5:$X$5000,1))</f>
        <v/>
      </c>
      <c r="M303" s="56">
        <f>IF(A303="","",COUNTIFS('Turn Log'!$B$5:$B$5000,A303,'Turn Log'!$Y$5:$Y$5000,1))</f>
        <v/>
      </c>
      <c r="N303" s="56">
        <f>IF(A303="","",COUNTIFS('Turn Log'!$B$5:$B$5000,A303,'Turn Log'!$W$5:$W$5000,1))</f>
        <v/>
      </c>
      <c r="O303" s="56">
        <f>IF(H303="","No","Yes")</f>
        <v/>
      </c>
      <c r="P303" s="56">
        <f>IF(A303="","",COUNTIFS('Stability Checks'!$A$5:$A$2000,A303,'Stability Checks'!$C$5:$C$2000,"Re-execution",'Stability Checks'!$E$5:$E$2000,"Pass"))</f>
        <v/>
      </c>
      <c r="Q303" s="56">
        <f>IF(A303="","",COUNTIFS('Stability Checks'!$A$5:$A$2000,A303,'Stability Checks'!$C$5:$C$2000,"Re-prompt",'Stability Checks'!$E$5:$E$2000,"Pass"))</f>
        <v/>
      </c>
      <c r="R303" s="47">
        <f>IF(A303="","",'Run Plan'!Q303)</f>
        <v/>
      </c>
      <c r="S303" s="50" t="n"/>
    </row>
    <row r="304" ht="15.75" customHeight="1" s="40">
      <c r="A304" s="55">
        <f>IF('Run Plan'!A304="","",'Run Plan'!A304)</f>
        <v/>
      </c>
      <c r="B304" s="55">
        <f>IF(A304="","",'Run Plan'!C304)</f>
        <v/>
      </c>
      <c r="C304" s="55">
        <f>IF(A304="","",'Run Plan'!E304)</f>
        <v/>
      </c>
      <c r="D304" s="54">
        <f>IF(A304="","",'Run Plan'!G304)</f>
        <v/>
      </c>
      <c r="E304" s="47">
        <f>IF(A304="","",'Run Plan'!K304)</f>
        <v/>
      </c>
      <c r="F304" s="47">
        <f>IF(A304="","",'Run Plan'!J304)</f>
        <v/>
      </c>
      <c r="G304" s="56">
        <f>IF(A304="","",COUNTIF('Turn Log'!$B$5:$B$5000,A304))</f>
        <v/>
      </c>
      <c r="H304" s="56">
        <f>IF(A304="","",IFERROR(MINIFS('Turn Log'!$C$5:$C$5000,'Turn Log'!$B$5:$B$5000,A304,'Turn Log'!$Q$5:$Q$5000,"Pass"),""))</f>
        <v/>
      </c>
      <c r="I304" s="56">
        <f>IF(A304="","",IFERROR(MAXIFS('Turn Log'!$C$5:$C$5000,'Turn Log'!$B$5:$B$5000,A304),""))</f>
        <v/>
      </c>
      <c r="J304" s="56">
        <f>IF(A304="","",IFERROR(INDEX('Turn Log'!$Q$5:$Q$5000,MATCH(1,('Turn Log'!$B$5:$B$5000=A304)*('Turn Log'!$C$5:$C$5000=I304),0)),""))</f>
        <v/>
      </c>
      <c r="K304" s="56">
        <f>IF(A304="","",IFERROR(INDEX('Turn Log'!$R$5:$R$5000,MATCH(1,('Turn Log'!$B$5:$B$5000=A304)*('Turn Log'!$C$5:$C$5000=I304),0)),""))</f>
        <v/>
      </c>
      <c r="L304" s="56">
        <f>IF(A304="","",COUNTIFS('Turn Log'!$B$5:$B$5000,A304,'Turn Log'!$X$5:$X$5000,1))</f>
        <v/>
      </c>
      <c r="M304" s="56">
        <f>IF(A304="","",COUNTIFS('Turn Log'!$B$5:$B$5000,A304,'Turn Log'!$Y$5:$Y$5000,1))</f>
        <v/>
      </c>
      <c r="N304" s="56">
        <f>IF(A304="","",COUNTIFS('Turn Log'!$B$5:$B$5000,A304,'Turn Log'!$W$5:$W$5000,1))</f>
        <v/>
      </c>
      <c r="O304" s="56">
        <f>IF(H304="","No","Yes")</f>
        <v/>
      </c>
      <c r="P304" s="56">
        <f>IF(A304="","",COUNTIFS('Stability Checks'!$A$5:$A$2000,A304,'Stability Checks'!$C$5:$C$2000,"Re-execution",'Stability Checks'!$E$5:$E$2000,"Pass"))</f>
        <v/>
      </c>
      <c r="Q304" s="56">
        <f>IF(A304="","",COUNTIFS('Stability Checks'!$A$5:$A$2000,A304,'Stability Checks'!$C$5:$C$2000,"Re-prompt",'Stability Checks'!$E$5:$E$2000,"Pass"))</f>
        <v/>
      </c>
      <c r="R304" s="47">
        <f>IF(A304="","",'Run Plan'!Q304)</f>
        <v/>
      </c>
      <c r="S304" s="50" t="n"/>
    </row>
    <row r="305" ht="15.75" customHeight="1" s="40">
      <c r="A305" s="55">
        <f>IF('Run Plan'!A305="","",'Run Plan'!A305)</f>
        <v/>
      </c>
      <c r="B305" s="55">
        <f>IF(A305="","",'Run Plan'!C305)</f>
        <v/>
      </c>
      <c r="C305" s="55">
        <f>IF(A305="","",'Run Plan'!E305)</f>
        <v/>
      </c>
      <c r="D305" s="54">
        <f>IF(A305="","",'Run Plan'!G305)</f>
        <v/>
      </c>
      <c r="E305" s="47">
        <f>IF(A305="","",'Run Plan'!K305)</f>
        <v/>
      </c>
      <c r="F305" s="47">
        <f>IF(A305="","",'Run Plan'!J305)</f>
        <v/>
      </c>
      <c r="G305" s="56">
        <f>IF(A305="","",COUNTIF('Turn Log'!$B$5:$B$5000,A305))</f>
        <v/>
      </c>
      <c r="H305" s="56">
        <f>IF(A305="","",IFERROR(MINIFS('Turn Log'!$C$5:$C$5000,'Turn Log'!$B$5:$B$5000,A305,'Turn Log'!$Q$5:$Q$5000,"Pass"),""))</f>
        <v/>
      </c>
      <c r="I305" s="56">
        <f>IF(A305="","",IFERROR(MAXIFS('Turn Log'!$C$5:$C$5000,'Turn Log'!$B$5:$B$5000,A305),""))</f>
        <v/>
      </c>
      <c r="J305" s="56">
        <f>IF(A305="","",IFERROR(INDEX('Turn Log'!$Q$5:$Q$5000,MATCH(1,('Turn Log'!$B$5:$B$5000=A305)*('Turn Log'!$C$5:$C$5000=I305),0)),""))</f>
        <v/>
      </c>
      <c r="K305" s="56">
        <f>IF(A305="","",IFERROR(INDEX('Turn Log'!$R$5:$R$5000,MATCH(1,('Turn Log'!$B$5:$B$5000=A305)*('Turn Log'!$C$5:$C$5000=I305),0)),""))</f>
        <v/>
      </c>
      <c r="L305" s="56">
        <f>IF(A305="","",COUNTIFS('Turn Log'!$B$5:$B$5000,A305,'Turn Log'!$X$5:$X$5000,1))</f>
        <v/>
      </c>
      <c r="M305" s="56">
        <f>IF(A305="","",COUNTIFS('Turn Log'!$B$5:$B$5000,A305,'Turn Log'!$Y$5:$Y$5000,1))</f>
        <v/>
      </c>
      <c r="N305" s="56">
        <f>IF(A305="","",COUNTIFS('Turn Log'!$B$5:$B$5000,A305,'Turn Log'!$W$5:$W$5000,1))</f>
        <v/>
      </c>
      <c r="O305" s="56">
        <f>IF(H305="","No","Yes")</f>
        <v/>
      </c>
      <c r="P305" s="56">
        <f>IF(A305="","",COUNTIFS('Stability Checks'!$A$5:$A$2000,A305,'Stability Checks'!$C$5:$C$2000,"Re-execution",'Stability Checks'!$E$5:$E$2000,"Pass"))</f>
        <v/>
      </c>
      <c r="Q305" s="56">
        <f>IF(A305="","",COUNTIFS('Stability Checks'!$A$5:$A$2000,A305,'Stability Checks'!$C$5:$C$2000,"Re-prompt",'Stability Checks'!$E$5:$E$2000,"Pass"))</f>
        <v/>
      </c>
      <c r="R305" s="47">
        <f>IF(A305="","",'Run Plan'!Q305)</f>
        <v/>
      </c>
      <c r="S305" s="50" t="n"/>
    </row>
    <row r="306" ht="15.75" customHeight="1" s="40">
      <c r="A306" s="55">
        <f>IF('Run Plan'!A306="","",'Run Plan'!A306)</f>
        <v/>
      </c>
      <c r="B306" s="55">
        <f>IF(A306="","",'Run Plan'!C306)</f>
        <v/>
      </c>
      <c r="C306" s="55">
        <f>IF(A306="","",'Run Plan'!E306)</f>
        <v/>
      </c>
      <c r="D306" s="54">
        <f>IF(A306="","",'Run Plan'!G306)</f>
        <v/>
      </c>
      <c r="E306" s="47">
        <f>IF(A306="","",'Run Plan'!K306)</f>
        <v/>
      </c>
      <c r="F306" s="47">
        <f>IF(A306="","",'Run Plan'!J306)</f>
        <v/>
      </c>
      <c r="G306" s="56">
        <f>IF(A306="","",COUNTIF('Turn Log'!$B$5:$B$5000,A306))</f>
        <v/>
      </c>
      <c r="H306" s="56">
        <f>IF(A306="","",IFERROR(MINIFS('Turn Log'!$C$5:$C$5000,'Turn Log'!$B$5:$B$5000,A306,'Turn Log'!$Q$5:$Q$5000,"Pass"),""))</f>
        <v/>
      </c>
      <c r="I306" s="56">
        <f>IF(A306="","",IFERROR(MAXIFS('Turn Log'!$C$5:$C$5000,'Turn Log'!$B$5:$B$5000,A306),""))</f>
        <v/>
      </c>
      <c r="J306" s="56">
        <f>IF(A306="","",IFERROR(INDEX('Turn Log'!$Q$5:$Q$5000,MATCH(1,('Turn Log'!$B$5:$B$5000=A306)*('Turn Log'!$C$5:$C$5000=I306),0)),""))</f>
        <v/>
      </c>
      <c r="K306" s="56">
        <f>IF(A306="","",IFERROR(INDEX('Turn Log'!$R$5:$R$5000,MATCH(1,('Turn Log'!$B$5:$B$5000=A306)*('Turn Log'!$C$5:$C$5000=I306),0)),""))</f>
        <v/>
      </c>
      <c r="L306" s="56">
        <f>IF(A306="","",COUNTIFS('Turn Log'!$B$5:$B$5000,A306,'Turn Log'!$X$5:$X$5000,1))</f>
        <v/>
      </c>
      <c r="M306" s="56">
        <f>IF(A306="","",COUNTIFS('Turn Log'!$B$5:$B$5000,A306,'Turn Log'!$Y$5:$Y$5000,1))</f>
        <v/>
      </c>
      <c r="N306" s="56">
        <f>IF(A306="","",COUNTIFS('Turn Log'!$B$5:$B$5000,A306,'Turn Log'!$W$5:$W$5000,1))</f>
        <v/>
      </c>
      <c r="O306" s="56">
        <f>IF(H306="","No","Yes")</f>
        <v/>
      </c>
      <c r="P306" s="56">
        <f>IF(A306="","",COUNTIFS('Stability Checks'!$A$5:$A$2000,A306,'Stability Checks'!$C$5:$C$2000,"Re-execution",'Stability Checks'!$E$5:$E$2000,"Pass"))</f>
        <v/>
      </c>
      <c r="Q306" s="56">
        <f>IF(A306="","",COUNTIFS('Stability Checks'!$A$5:$A$2000,A306,'Stability Checks'!$C$5:$C$2000,"Re-prompt",'Stability Checks'!$E$5:$E$2000,"Pass"))</f>
        <v/>
      </c>
      <c r="R306" s="47">
        <f>IF(A306="","",'Run Plan'!Q306)</f>
        <v/>
      </c>
      <c r="S306" s="50" t="n"/>
    </row>
    <row r="307" ht="15.75" customHeight="1" s="40">
      <c r="A307" s="55">
        <f>IF('Run Plan'!A307="","",'Run Plan'!A307)</f>
        <v/>
      </c>
      <c r="B307" s="55">
        <f>IF(A307="","",'Run Plan'!C307)</f>
        <v/>
      </c>
      <c r="C307" s="55">
        <f>IF(A307="","",'Run Plan'!E307)</f>
        <v/>
      </c>
      <c r="D307" s="54">
        <f>IF(A307="","",'Run Plan'!G307)</f>
        <v/>
      </c>
      <c r="E307" s="47">
        <f>IF(A307="","",'Run Plan'!K307)</f>
        <v/>
      </c>
      <c r="F307" s="47">
        <f>IF(A307="","",'Run Plan'!J307)</f>
        <v/>
      </c>
      <c r="G307" s="56">
        <f>IF(A307="","",COUNTIF('Turn Log'!$B$5:$B$5000,A307))</f>
        <v/>
      </c>
      <c r="H307" s="56">
        <f>IF(A307="","",IFERROR(MINIFS('Turn Log'!$C$5:$C$5000,'Turn Log'!$B$5:$B$5000,A307,'Turn Log'!$Q$5:$Q$5000,"Pass"),""))</f>
        <v/>
      </c>
      <c r="I307" s="56">
        <f>IF(A307="","",IFERROR(MAXIFS('Turn Log'!$C$5:$C$5000,'Turn Log'!$B$5:$B$5000,A307),""))</f>
        <v/>
      </c>
      <c r="J307" s="56">
        <f>IF(A307="","",IFERROR(INDEX('Turn Log'!$Q$5:$Q$5000,MATCH(1,('Turn Log'!$B$5:$B$5000=A307)*('Turn Log'!$C$5:$C$5000=I307),0)),""))</f>
        <v/>
      </c>
      <c r="K307" s="56">
        <f>IF(A307="","",IFERROR(INDEX('Turn Log'!$R$5:$R$5000,MATCH(1,('Turn Log'!$B$5:$B$5000=A307)*('Turn Log'!$C$5:$C$5000=I307),0)),""))</f>
        <v/>
      </c>
      <c r="L307" s="56">
        <f>IF(A307="","",COUNTIFS('Turn Log'!$B$5:$B$5000,A307,'Turn Log'!$X$5:$X$5000,1))</f>
        <v/>
      </c>
      <c r="M307" s="56">
        <f>IF(A307="","",COUNTIFS('Turn Log'!$B$5:$B$5000,A307,'Turn Log'!$Y$5:$Y$5000,1))</f>
        <v/>
      </c>
      <c r="N307" s="56">
        <f>IF(A307="","",COUNTIFS('Turn Log'!$B$5:$B$5000,A307,'Turn Log'!$W$5:$W$5000,1))</f>
        <v/>
      </c>
      <c r="O307" s="56">
        <f>IF(H307="","No","Yes")</f>
        <v/>
      </c>
      <c r="P307" s="56">
        <f>IF(A307="","",COUNTIFS('Stability Checks'!$A$5:$A$2000,A307,'Stability Checks'!$C$5:$C$2000,"Re-execution",'Stability Checks'!$E$5:$E$2000,"Pass"))</f>
        <v/>
      </c>
      <c r="Q307" s="56">
        <f>IF(A307="","",COUNTIFS('Stability Checks'!$A$5:$A$2000,A307,'Stability Checks'!$C$5:$C$2000,"Re-prompt",'Stability Checks'!$E$5:$E$2000,"Pass"))</f>
        <v/>
      </c>
      <c r="R307" s="47">
        <f>IF(A307="","",'Run Plan'!Q307)</f>
        <v/>
      </c>
      <c r="S307" s="50" t="n"/>
    </row>
    <row r="308" ht="15.75" customHeight="1" s="40">
      <c r="A308" s="55">
        <f>IF('Run Plan'!A308="","",'Run Plan'!A308)</f>
        <v/>
      </c>
      <c r="B308" s="55">
        <f>IF(A308="","",'Run Plan'!C308)</f>
        <v/>
      </c>
      <c r="C308" s="55">
        <f>IF(A308="","",'Run Plan'!E308)</f>
        <v/>
      </c>
      <c r="D308" s="54">
        <f>IF(A308="","",'Run Plan'!G308)</f>
        <v/>
      </c>
      <c r="E308" s="47">
        <f>IF(A308="","",'Run Plan'!K308)</f>
        <v/>
      </c>
      <c r="F308" s="47">
        <f>IF(A308="","",'Run Plan'!J308)</f>
        <v/>
      </c>
      <c r="G308" s="56">
        <f>IF(A308="","",COUNTIF('Turn Log'!$B$5:$B$5000,A308))</f>
        <v/>
      </c>
      <c r="H308" s="56">
        <f>IF(A308="","",IFERROR(MINIFS('Turn Log'!$C$5:$C$5000,'Turn Log'!$B$5:$B$5000,A308,'Turn Log'!$Q$5:$Q$5000,"Pass"),""))</f>
        <v/>
      </c>
      <c r="I308" s="56">
        <f>IF(A308="","",IFERROR(MAXIFS('Turn Log'!$C$5:$C$5000,'Turn Log'!$B$5:$B$5000,A308),""))</f>
        <v/>
      </c>
      <c r="J308" s="56">
        <f>IF(A308="","",IFERROR(INDEX('Turn Log'!$Q$5:$Q$5000,MATCH(1,('Turn Log'!$B$5:$B$5000=A308)*('Turn Log'!$C$5:$C$5000=I308),0)),""))</f>
        <v/>
      </c>
      <c r="K308" s="56">
        <f>IF(A308="","",IFERROR(INDEX('Turn Log'!$R$5:$R$5000,MATCH(1,('Turn Log'!$B$5:$B$5000=A308)*('Turn Log'!$C$5:$C$5000=I308),0)),""))</f>
        <v/>
      </c>
      <c r="L308" s="56">
        <f>IF(A308="","",COUNTIFS('Turn Log'!$B$5:$B$5000,A308,'Turn Log'!$X$5:$X$5000,1))</f>
        <v/>
      </c>
      <c r="M308" s="56">
        <f>IF(A308="","",COUNTIFS('Turn Log'!$B$5:$B$5000,A308,'Turn Log'!$Y$5:$Y$5000,1))</f>
        <v/>
      </c>
      <c r="N308" s="56">
        <f>IF(A308="","",COUNTIFS('Turn Log'!$B$5:$B$5000,A308,'Turn Log'!$W$5:$W$5000,1))</f>
        <v/>
      </c>
      <c r="O308" s="56">
        <f>IF(H308="","No","Yes")</f>
        <v/>
      </c>
      <c r="P308" s="56">
        <f>IF(A308="","",COUNTIFS('Stability Checks'!$A$5:$A$2000,A308,'Stability Checks'!$C$5:$C$2000,"Re-execution",'Stability Checks'!$E$5:$E$2000,"Pass"))</f>
        <v/>
      </c>
      <c r="Q308" s="56">
        <f>IF(A308="","",COUNTIFS('Stability Checks'!$A$5:$A$2000,A308,'Stability Checks'!$C$5:$C$2000,"Re-prompt",'Stability Checks'!$E$5:$E$2000,"Pass"))</f>
        <v/>
      </c>
      <c r="R308" s="47">
        <f>IF(A308="","",'Run Plan'!Q308)</f>
        <v/>
      </c>
      <c r="S308" s="50" t="n"/>
    </row>
    <row r="309" ht="15.75" customHeight="1" s="40">
      <c r="A309" s="55">
        <f>IF('Run Plan'!A309="","",'Run Plan'!A309)</f>
        <v/>
      </c>
      <c r="B309" s="55">
        <f>IF(A309="","",'Run Plan'!C309)</f>
        <v/>
      </c>
      <c r="C309" s="55">
        <f>IF(A309="","",'Run Plan'!E309)</f>
        <v/>
      </c>
      <c r="D309" s="54">
        <f>IF(A309="","",'Run Plan'!G309)</f>
        <v/>
      </c>
      <c r="E309" s="47">
        <f>IF(A309="","",'Run Plan'!K309)</f>
        <v/>
      </c>
      <c r="F309" s="47">
        <f>IF(A309="","",'Run Plan'!J309)</f>
        <v/>
      </c>
      <c r="G309" s="56">
        <f>IF(A309="","",COUNTIF('Turn Log'!$B$5:$B$5000,A309))</f>
        <v/>
      </c>
      <c r="H309" s="56">
        <f>IF(A309="","",IFERROR(MINIFS('Turn Log'!$C$5:$C$5000,'Turn Log'!$B$5:$B$5000,A309,'Turn Log'!$Q$5:$Q$5000,"Pass"),""))</f>
        <v/>
      </c>
      <c r="I309" s="56">
        <f>IF(A309="","",IFERROR(MAXIFS('Turn Log'!$C$5:$C$5000,'Turn Log'!$B$5:$B$5000,A309),""))</f>
        <v/>
      </c>
      <c r="J309" s="56">
        <f>IF(A309="","",IFERROR(INDEX('Turn Log'!$Q$5:$Q$5000,MATCH(1,('Turn Log'!$B$5:$B$5000=A309)*('Turn Log'!$C$5:$C$5000=I309),0)),""))</f>
        <v/>
      </c>
      <c r="K309" s="56">
        <f>IF(A309="","",IFERROR(INDEX('Turn Log'!$R$5:$R$5000,MATCH(1,('Turn Log'!$B$5:$B$5000=A309)*('Turn Log'!$C$5:$C$5000=I309),0)),""))</f>
        <v/>
      </c>
      <c r="L309" s="56">
        <f>IF(A309="","",COUNTIFS('Turn Log'!$B$5:$B$5000,A309,'Turn Log'!$X$5:$X$5000,1))</f>
        <v/>
      </c>
      <c r="M309" s="56">
        <f>IF(A309="","",COUNTIFS('Turn Log'!$B$5:$B$5000,A309,'Turn Log'!$Y$5:$Y$5000,1))</f>
        <v/>
      </c>
      <c r="N309" s="56">
        <f>IF(A309="","",COUNTIFS('Turn Log'!$B$5:$B$5000,A309,'Turn Log'!$W$5:$W$5000,1))</f>
        <v/>
      </c>
      <c r="O309" s="56">
        <f>IF(H309="","No","Yes")</f>
        <v/>
      </c>
      <c r="P309" s="56">
        <f>IF(A309="","",COUNTIFS('Stability Checks'!$A$5:$A$2000,A309,'Stability Checks'!$C$5:$C$2000,"Re-execution",'Stability Checks'!$E$5:$E$2000,"Pass"))</f>
        <v/>
      </c>
      <c r="Q309" s="56">
        <f>IF(A309="","",COUNTIFS('Stability Checks'!$A$5:$A$2000,A309,'Stability Checks'!$C$5:$C$2000,"Re-prompt",'Stability Checks'!$E$5:$E$2000,"Pass"))</f>
        <v/>
      </c>
      <c r="R309" s="47">
        <f>IF(A309="","",'Run Plan'!Q309)</f>
        <v/>
      </c>
      <c r="S309" s="50" t="n"/>
    </row>
    <row r="310" ht="15.75" customHeight="1" s="40">
      <c r="A310" s="55">
        <f>IF('Run Plan'!A310="","",'Run Plan'!A310)</f>
        <v/>
      </c>
      <c r="B310" s="55">
        <f>IF(A310="","",'Run Plan'!C310)</f>
        <v/>
      </c>
      <c r="C310" s="55">
        <f>IF(A310="","",'Run Plan'!E310)</f>
        <v/>
      </c>
      <c r="D310" s="54">
        <f>IF(A310="","",'Run Plan'!G310)</f>
        <v/>
      </c>
      <c r="E310" s="47">
        <f>IF(A310="","",'Run Plan'!K310)</f>
        <v/>
      </c>
      <c r="F310" s="47">
        <f>IF(A310="","",'Run Plan'!J310)</f>
        <v/>
      </c>
      <c r="G310" s="56">
        <f>IF(A310="","",COUNTIF('Turn Log'!$B$5:$B$5000,A310))</f>
        <v/>
      </c>
      <c r="H310" s="56">
        <f>IF(A310="","",IFERROR(MINIFS('Turn Log'!$C$5:$C$5000,'Turn Log'!$B$5:$B$5000,A310,'Turn Log'!$Q$5:$Q$5000,"Pass"),""))</f>
        <v/>
      </c>
      <c r="I310" s="56">
        <f>IF(A310="","",IFERROR(MAXIFS('Turn Log'!$C$5:$C$5000,'Turn Log'!$B$5:$B$5000,A310),""))</f>
        <v/>
      </c>
      <c r="J310" s="56">
        <f>IF(A310="","",IFERROR(INDEX('Turn Log'!$Q$5:$Q$5000,MATCH(1,('Turn Log'!$B$5:$B$5000=A310)*('Turn Log'!$C$5:$C$5000=I310),0)),""))</f>
        <v/>
      </c>
      <c r="K310" s="56">
        <f>IF(A310="","",IFERROR(INDEX('Turn Log'!$R$5:$R$5000,MATCH(1,('Turn Log'!$B$5:$B$5000=A310)*('Turn Log'!$C$5:$C$5000=I310),0)),""))</f>
        <v/>
      </c>
      <c r="L310" s="56">
        <f>IF(A310="","",COUNTIFS('Turn Log'!$B$5:$B$5000,A310,'Turn Log'!$X$5:$X$5000,1))</f>
        <v/>
      </c>
      <c r="M310" s="56">
        <f>IF(A310="","",COUNTIFS('Turn Log'!$B$5:$B$5000,A310,'Turn Log'!$Y$5:$Y$5000,1))</f>
        <v/>
      </c>
      <c r="N310" s="56">
        <f>IF(A310="","",COUNTIFS('Turn Log'!$B$5:$B$5000,A310,'Turn Log'!$W$5:$W$5000,1))</f>
        <v/>
      </c>
      <c r="O310" s="56">
        <f>IF(H310="","No","Yes")</f>
        <v/>
      </c>
      <c r="P310" s="56">
        <f>IF(A310="","",COUNTIFS('Stability Checks'!$A$5:$A$2000,A310,'Stability Checks'!$C$5:$C$2000,"Re-execution",'Stability Checks'!$E$5:$E$2000,"Pass"))</f>
        <v/>
      </c>
      <c r="Q310" s="56">
        <f>IF(A310="","",COUNTIFS('Stability Checks'!$A$5:$A$2000,A310,'Stability Checks'!$C$5:$C$2000,"Re-prompt",'Stability Checks'!$E$5:$E$2000,"Pass"))</f>
        <v/>
      </c>
      <c r="R310" s="47">
        <f>IF(A310="","",'Run Plan'!Q310)</f>
        <v/>
      </c>
      <c r="S310" s="50" t="n"/>
    </row>
    <row r="311" ht="15.75" customHeight="1" s="40">
      <c r="A311" s="55">
        <f>IF('Run Plan'!A311="","",'Run Plan'!A311)</f>
        <v/>
      </c>
      <c r="B311" s="55">
        <f>IF(A311="","",'Run Plan'!C311)</f>
        <v/>
      </c>
      <c r="C311" s="55">
        <f>IF(A311="","",'Run Plan'!E311)</f>
        <v/>
      </c>
      <c r="D311" s="54">
        <f>IF(A311="","",'Run Plan'!G311)</f>
        <v/>
      </c>
      <c r="E311" s="47">
        <f>IF(A311="","",'Run Plan'!K311)</f>
        <v/>
      </c>
      <c r="F311" s="47">
        <f>IF(A311="","",'Run Plan'!J311)</f>
        <v/>
      </c>
      <c r="G311" s="56">
        <f>IF(A311="","",COUNTIF('Turn Log'!$B$5:$B$5000,A311))</f>
        <v/>
      </c>
      <c r="H311" s="56">
        <f>IF(A311="","",IFERROR(MINIFS('Turn Log'!$C$5:$C$5000,'Turn Log'!$B$5:$B$5000,A311,'Turn Log'!$Q$5:$Q$5000,"Pass"),""))</f>
        <v/>
      </c>
      <c r="I311" s="56">
        <f>IF(A311="","",IFERROR(MAXIFS('Turn Log'!$C$5:$C$5000,'Turn Log'!$B$5:$B$5000,A311),""))</f>
        <v/>
      </c>
      <c r="J311" s="56">
        <f>IF(A311="","",IFERROR(INDEX('Turn Log'!$Q$5:$Q$5000,MATCH(1,('Turn Log'!$B$5:$B$5000=A311)*('Turn Log'!$C$5:$C$5000=I311),0)),""))</f>
        <v/>
      </c>
      <c r="K311" s="56">
        <f>IF(A311="","",IFERROR(INDEX('Turn Log'!$R$5:$R$5000,MATCH(1,('Turn Log'!$B$5:$B$5000=A311)*('Turn Log'!$C$5:$C$5000=I311),0)),""))</f>
        <v/>
      </c>
      <c r="L311" s="56">
        <f>IF(A311="","",COUNTIFS('Turn Log'!$B$5:$B$5000,A311,'Turn Log'!$X$5:$X$5000,1))</f>
        <v/>
      </c>
      <c r="M311" s="56">
        <f>IF(A311="","",COUNTIFS('Turn Log'!$B$5:$B$5000,A311,'Turn Log'!$Y$5:$Y$5000,1))</f>
        <v/>
      </c>
      <c r="N311" s="56">
        <f>IF(A311="","",COUNTIFS('Turn Log'!$B$5:$B$5000,A311,'Turn Log'!$W$5:$W$5000,1))</f>
        <v/>
      </c>
      <c r="O311" s="56">
        <f>IF(H311="","No","Yes")</f>
        <v/>
      </c>
      <c r="P311" s="56">
        <f>IF(A311="","",COUNTIFS('Stability Checks'!$A$5:$A$2000,A311,'Stability Checks'!$C$5:$C$2000,"Re-execution",'Stability Checks'!$E$5:$E$2000,"Pass"))</f>
        <v/>
      </c>
      <c r="Q311" s="56">
        <f>IF(A311="","",COUNTIFS('Stability Checks'!$A$5:$A$2000,A311,'Stability Checks'!$C$5:$C$2000,"Re-prompt",'Stability Checks'!$E$5:$E$2000,"Pass"))</f>
        <v/>
      </c>
      <c r="R311" s="47">
        <f>IF(A311="","",'Run Plan'!Q311)</f>
        <v/>
      </c>
      <c r="S311" s="50" t="n"/>
    </row>
    <row r="312" ht="15.75" customHeight="1" s="40">
      <c r="A312" s="55">
        <f>IF('Run Plan'!A312="","",'Run Plan'!A312)</f>
        <v/>
      </c>
      <c r="B312" s="55">
        <f>IF(A312="","",'Run Plan'!C312)</f>
        <v/>
      </c>
      <c r="C312" s="55">
        <f>IF(A312="","",'Run Plan'!E312)</f>
        <v/>
      </c>
      <c r="D312" s="54">
        <f>IF(A312="","",'Run Plan'!G312)</f>
        <v/>
      </c>
      <c r="E312" s="47">
        <f>IF(A312="","",'Run Plan'!K312)</f>
        <v/>
      </c>
      <c r="F312" s="47">
        <f>IF(A312="","",'Run Plan'!J312)</f>
        <v/>
      </c>
      <c r="G312" s="56">
        <f>IF(A312="","",COUNTIF('Turn Log'!$B$5:$B$5000,A312))</f>
        <v/>
      </c>
      <c r="H312" s="56">
        <f>IF(A312="","",IFERROR(MINIFS('Turn Log'!$C$5:$C$5000,'Turn Log'!$B$5:$B$5000,A312,'Turn Log'!$Q$5:$Q$5000,"Pass"),""))</f>
        <v/>
      </c>
      <c r="I312" s="56">
        <f>IF(A312="","",IFERROR(MAXIFS('Turn Log'!$C$5:$C$5000,'Turn Log'!$B$5:$B$5000,A312),""))</f>
        <v/>
      </c>
      <c r="J312" s="56">
        <f>IF(A312="","",IFERROR(INDEX('Turn Log'!$Q$5:$Q$5000,MATCH(1,('Turn Log'!$B$5:$B$5000=A312)*('Turn Log'!$C$5:$C$5000=I312),0)),""))</f>
        <v/>
      </c>
      <c r="K312" s="56">
        <f>IF(A312="","",IFERROR(INDEX('Turn Log'!$R$5:$R$5000,MATCH(1,('Turn Log'!$B$5:$B$5000=A312)*('Turn Log'!$C$5:$C$5000=I312),0)),""))</f>
        <v/>
      </c>
      <c r="L312" s="56">
        <f>IF(A312="","",COUNTIFS('Turn Log'!$B$5:$B$5000,A312,'Turn Log'!$X$5:$X$5000,1))</f>
        <v/>
      </c>
      <c r="M312" s="56">
        <f>IF(A312="","",COUNTIFS('Turn Log'!$B$5:$B$5000,A312,'Turn Log'!$Y$5:$Y$5000,1))</f>
        <v/>
      </c>
      <c r="N312" s="56">
        <f>IF(A312="","",COUNTIFS('Turn Log'!$B$5:$B$5000,A312,'Turn Log'!$W$5:$W$5000,1))</f>
        <v/>
      </c>
      <c r="O312" s="56">
        <f>IF(H312="","No","Yes")</f>
        <v/>
      </c>
      <c r="P312" s="56">
        <f>IF(A312="","",COUNTIFS('Stability Checks'!$A$5:$A$2000,A312,'Stability Checks'!$C$5:$C$2000,"Re-execution",'Stability Checks'!$E$5:$E$2000,"Pass"))</f>
        <v/>
      </c>
      <c r="Q312" s="56">
        <f>IF(A312="","",COUNTIFS('Stability Checks'!$A$5:$A$2000,A312,'Stability Checks'!$C$5:$C$2000,"Re-prompt",'Stability Checks'!$E$5:$E$2000,"Pass"))</f>
        <v/>
      </c>
      <c r="R312" s="47">
        <f>IF(A312="","",'Run Plan'!Q312)</f>
        <v/>
      </c>
      <c r="S312" s="50" t="n"/>
    </row>
    <row r="313" ht="15.75" customHeight="1" s="40">
      <c r="A313" s="55">
        <f>IF('Run Plan'!A313="","",'Run Plan'!A313)</f>
        <v/>
      </c>
      <c r="B313" s="55">
        <f>IF(A313="","",'Run Plan'!C313)</f>
        <v/>
      </c>
      <c r="C313" s="55">
        <f>IF(A313="","",'Run Plan'!E313)</f>
        <v/>
      </c>
      <c r="D313" s="54">
        <f>IF(A313="","",'Run Plan'!G313)</f>
        <v/>
      </c>
      <c r="E313" s="47">
        <f>IF(A313="","",'Run Plan'!K313)</f>
        <v/>
      </c>
      <c r="F313" s="47">
        <f>IF(A313="","",'Run Plan'!J313)</f>
        <v/>
      </c>
      <c r="G313" s="56">
        <f>IF(A313="","",COUNTIF('Turn Log'!$B$5:$B$5000,A313))</f>
        <v/>
      </c>
      <c r="H313" s="56">
        <f>IF(A313="","",IFERROR(MINIFS('Turn Log'!$C$5:$C$5000,'Turn Log'!$B$5:$B$5000,A313,'Turn Log'!$Q$5:$Q$5000,"Pass"),""))</f>
        <v/>
      </c>
      <c r="I313" s="56">
        <f>IF(A313="","",IFERROR(MAXIFS('Turn Log'!$C$5:$C$5000,'Turn Log'!$B$5:$B$5000,A313),""))</f>
        <v/>
      </c>
      <c r="J313" s="56">
        <f>IF(A313="","",IFERROR(INDEX('Turn Log'!$Q$5:$Q$5000,MATCH(1,('Turn Log'!$B$5:$B$5000=A313)*('Turn Log'!$C$5:$C$5000=I313),0)),""))</f>
        <v/>
      </c>
      <c r="K313" s="56">
        <f>IF(A313="","",IFERROR(INDEX('Turn Log'!$R$5:$R$5000,MATCH(1,('Turn Log'!$B$5:$B$5000=A313)*('Turn Log'!$C$5:$C$5000=I313),0)),""))</f>
        <v/>
      </c>
      <c r="L313" s="56">
        <f>IF(A313="","",COUNTIFS('Turn Log'!$B$5:$B$5000,A313,'Turn Log'!$X$5:$X$5000,1))</f>
        <v/>
      </c>
      <c r="M313" s="56">
        <f>IF(A313="","",COUNTIFS('Turn Log'!$B$5:$B$5000,A313,'Turn Log'!$Y$5:$Y$5000,1))</f>
        <v/>
      </c>
      <c r="N313" s="56">
        <f>IF(A313="","",COUNTIFS('Turn Log'!$B$5:$B$5000,A313,'Turn Log'!$W$5:$W$5000,1))</f>
        <v/>
      </c>
      <c r="O313" s="56">
        <f>IF(H313="","No","Yes")</f>
        <v/>
      </c>
      <c r="P313" s="56">
        <f>IF(A313="","",COUNTIFS('Stability Checks'!$A$5:$A$2000,A313,'Stability Checks'!$C$5:$C$2000,"Re-execution",'Stability Checks'!$E$5:$E$2000,"Pass"))</f>
        <v/>
      </c>
      <c r="Q313" s="56">
        <f>IF(A313="","",COUNTIFS('Stability Checks'!$A$5:$A$2000,A313,'Stability Checks'!$C$5:$C$2000,"Re-prompt",'Stability Checks'!$E$5:$E$2000,"Pass"))</f>
        <v/>
      </c>
      <c r="R313" s="47">
        <f>IF(A313="","",'Run Plan'!Q313)</f>
        <v/>
      </c>
      <c r="S313" s="50" t="n"/>
    </row>
    <row r="314" ht="15.75" customHeight="1" s="40">
      <c r="A314" s="55">
        <f>IF('Run Plan'!A314="","",'Run Plan'!A314)</f>
        <v/>
      </c>
      <c r="B314" s="55">
        <f>IF(A314="","",'Run Plan'!C314)</f>
        <v/>
      </c>
      <c r="C314" s="55">
        <f>IF(A314="","",'Run Plan'!E314)</f>
        <v/>
      </c>
      <c r="D314" s="54">
        <f>IF(A314="","",'Run Plan'!G314)</f>
        <v/>
      </c>
      <c r="E314" s="47">
        <f>IF(A314="","",'Run Plan'!K314)</f>
        <v/>
      </c>
      <c r="F314" s="47">
        <f>IF(A314="","",'Run Plan'!J314)</f>
        <v/>
      </c>
      <c r="G314" s="56">
        <f>IF(A314="","",COUNTIF('Turn Log'!$B$5:$B$5000,A314))</f>
        <v/>
      </c>
      <c r="H314" s="56">
        <f>IF(A314="","",IFERROR(MINIFS('Turn Log'!$C$5:$C$5000,'Turn Log'!$B$5:$B$5000,A314,'Turn Log'!$Q$5:$Q$5000,"Pass"),""))</f>
        <v/>
      </c>
      <c r="I314" s="56">
        <f>IF(A314="","",IFERROR(MAXIFS('Turn Log'!$C$5:$C$5000,'Turn Log'!$B$5:$B$5000,A314),""))</f>
        <v/>
      </c>
      <c r="J314" s="56">
        <f>IF(A314="","",IFERROR(INDEX('Turn Log'!$Q$5:$Q$5000,MATCH(1,('Turn Log'!$B$5:$B$5000=A314)*('Turn Log'!$C$5:$C$5000=I314),0)),""))</f>
        <v/>
      </c>
      <c r="K314" s="56">
        <f>IF(A314="","",IFERROR(INDEX('Turn Log'!$R$5:$R$5000,MATCH(1,('Turn Log'!$B$5:$B$5000=A314)*('Turn Log'!$C$5:$C$5000=I314),0)),""))</f>
        <v/>
      </c>
      <c r="L314" s="56">
        <f>IF(A314="","",COUNTIFS('Turn Log'!$B$5:$B$5000,A314,'Turn Log'!$X$5:$X$5000,1))</f>
        <v/>
      </c>
      <c r="M314" s="56">
        <f>IF(A314="","",COUNTIFS('Turn Log'!$B$5:$B$5000,A314,'Turn Log'!$Y$5:$Y$5000,1))</f>
        <v/>
      </c>
      <c r="N314" s="56">
        <f>IF(A314="","",COUNTIFS('Turn Log'!$B$5:$B$5000,A314,'Turn Log'!$W$5:$W$5000,1))</f>
        <v/>
      </c>
      <c r="O314" s="56">
        <f>IF(H314="","No","Yes")</f>
        <v/>
      </c>
      <c r="P314" s="56">
        <f>IF(A314="","",COUNTIFS('Stability Checks'!$A$5:$A$2000,A314,'Stability Checks'!$C$5:$C$2000,"Re-execution",'Stability Checks'!$E$5:$E$2000,"Pass"))</f>
        <v/>
      </c>
      <c r="Q314" s="56">
        <f>IF(A314="","",COUNTIFS('Stability Checks'!$A$5:$A$2000,A314,'Stability Checks'!$C$5:$C$2000,"Re-prompt",'Stability Checks'!$E$5:$E$2000,"Pass"))</f>
        <v/>
      </c>
      <c r="R314" s="47">
        <f>IF(A314="","",'Run Plan'!Q314)</f>
        <v/>
      </c>
      <c r="S314" s="50" t="n"/>
    </row>
    <row r="315" ht="15.75" customHeight="1" s="40">
      <c r="A315" s="55">
        <f>IF('Run Plan'!A315="","",'Run Plan'!A315)</f>
        <v/>
      </c>
      <c r="B315" s="55">
        <f>IF(A315="","",'Run Plan'!C315)</f>
        <v/>
      </c>
      <c r="C315" s="55">
        <f>IF(A315="","",'Run Plan'!E315)</f>
        <v/>
      </c>
      <c r="D315" s="54">
        <f>IF(A315="","",'Run Plan'!G315)</f>
        <v/>
      </c>
      <c r="E315" s="47">
        <f>IF(A315="","",'Run Plan'!K315)</f>
        <v/>
      </c>
      <c r="F315" s="47">
        <f>IF(A315="","",'Run Plan'!J315)</f>
        <v/>
      </c>
      <c r="G315" s="56">
        <f>IF(A315="","",COUNTIF('Turn Log'!$B$5:$B$5000,A315))</f>
        <v/>
      </c>
      <c r="H315" s="56">
        <f>IF(A315="","",IFERROR(MINIFS('Turn Log'!$C$5:$C$5000,'Turn Log'!$B$5:$B$5000,A315,'Turn Log'!$Q$5:$Q$5000,"Pass"),""))</f>
        <v/>
      </c>
      <c r="I315" s="56">
        <f>IF(A315="","",IFERROR(MAXIFS('Turn Log'!$C$5:$C$5000,'Turn Log'!$B$5:$B$5000,A315),""))</f>
        <v/>
      </c>
      <c r="J315" s="56">
        <f>IF(A315="","",IFERROR(INDEX('Turn Log'!$Q$5:$Q$5000,MATCH(1,('Turn Log'!$B$5:$B$5000=A315)*('Turn Log'!$C$5:$C$5000=I315),0)),""))</f>
        <v/>
      </c>
      <c r="K315" s="56">
        <f>IF(A315="","",IFERROR(INDEX('Turn Log'!$R$5:$R$5000,MATCH(1,('Turn Log'!$B$5:$B$5000=A315)*('Turn Log'!$C$5:$C$5000=I315),0)),""))</f>
        <v/>
      </c>
      <c r="L315" s="56">
        <f>IF(A315="","",COUNTIFS('Turn Log'!$B$5:$B$5000,A315,'Turn Log'!$X$5:$X$5000,1))</f>
        <v/>
      </c>
      <c r="M315" s="56">
        <f>IF(A315="","",COUNTIFS('Turn Log'!$B$5:$B$5000,A315,'Turn Log'!$Y$5:$Y$5000,1))</f>
        <v/>
      </c>
      <c r="N315" s="56">
        <f>IF(A315="","",COUNTIFS('Turn Log'!$B$5:$B$5000,A315,'Turn Log'!$W$5:$W$5000,1))</f>
        <v/>
      </c>
      <c r="O315" s="56">
        <f>IF(H315="","No","Yes")</f>
        <v/>
      </c>
      <c r="P315" s="56">
        <f>IF(A315="","",COUNTIFS('Stability Checks'!$A$5:$A$2000,A315,'Stability Checks'!$C$5:$C$2000,"Re-execution",'Stability Checks'!$E$5:$E$2000,"Pass"))</f>
        <v/>
      </c>
      <c r="Q315" s="56">
        <f>IF(A315="","",COUNTIFS('Stability Checks'!$A$5:$A$2000,A315,'Stability Checks'!$C$5:$C$2000,"Re-prompt",'Stability Checks'!$E$5:$E$2000,"Pass"))</f>
        <v/>
      </c>
      <c r="R315" s="47">
        <f>IF(A315="","",'Run Plan'!Q315)</f>
        <v/>
      </c>
      <c r="S315" s="50" t="n"/>
    </row>
    <row r="316" ht="15.75" customHeight="1" s="40">
      <c r="A316" s="55">
        <f>IF('Run Plan'!A316="","",'Run Plan'!A316)</f>
        <v/>
      </c>
      <c r="B316" s="55">
        <f>IF(A316="","",'Run Plan'!C316)</f>
        <v/>
      </c>
      <c r="C316" s="55">
        <f>IF(A316="","",'Run Plan'!E316)</f>
        <v/>
      </c>
      <c r="D316" s="54">
        <f>IF(A316="","",'Run Plan'!G316)</f>
        <v/>
      </c>
      <c r="E316" s="47">
        <f>IF(A316="","",'Run Plan'!K316)</f>
        <v/>
      </c>
      <c r="F316" s="47">
        <f>IF(A316="","",'Run Plan'!J316)</f>
        <v/>
      </c>
      <c r="G316" s="56">
        <f>IF(A316="","",COUNTIF('Turn Log'!$B$5:$B$5000,A316))</f>
        <v/>
      </c>
      <c r="H316" s="56">
        <f>IF(A316="","",IFERROR(MINIFS('Turn Log'!$C$5:$C$5000,'Turn Log'!$B$5:$B$5000,A316,'Turn Log'!$Q$5:$Q$5000,"Pass"),""))</f>
        <v/>
      </c>
      <c r="I316" s="56">
        <f>IF(A316="","",IFERROR(MAXIFS('Turn Log'!$C$5:$C$5000,'Turn Log'!$B$5:$B$5000,A316),""))</f>
        <v/>
      </c>
      <c r="J316" s="56">
        <f>IF(A316="","",IFERROR(INDEX('Turn Log'!$Q$5:$Q$5000,MATCH(1,('Turn Log'!$B$5:$B$5000=A316)*('Turn Log'!$C$5:$C$5000=I316),0)),""))</f>
        <v/>
      </c>
      <c r="K316" s="56">
        <f>IF(A316="","",IFERROR(INDEX('Turn Log'!$R$5:$R$5000,MATCH(1,('Turn Log'!$B$5:$B$5000=A316)*('Turn Log'!$C$5:$C$5000=I316),0)),""))</f>
        <v/>
      </c>
      <c r="L316" s="56">
        <f>IF(A316="","",COUNTIFS('Turn Log'!$B$5:$B$5000,A316,'Turn Log'!$X$5:$X$5000,1))</f>
        <v/>
      </c>
      <c r="M316" s="56">
        <f>IF(A316="","",COUNTIFS('Turn Log'!$B$5:$B$5000,A316,'Turn Log'!$Y$5:$Y$5000,1))</f>
        <v/>
      </c>
      <c r="N316" s="56">
        <f>IF(A316="","",COUNTIFS('Turn Log'!$B$5:$B$5000,A316,'Turn Log'!$W$5:$W$5000,1))</f>
        <v/>
      </c>
      <c r="O316" s="56">
        <f>IF(H316="","No","Yes")</f>
        <v/>
      </c>
      <c r="P316" s="56">
        <f>IF(A316="","",COUNTIFS('Stability Checks'!$A$5:$A$2000,A316,'Stability Checks'!$C$5:$C$2000,"Re-execution",'Stability Checks'!$E$5:$E$2000,"Pass"))</f>
        <v/>
      </c>
      <c r="Q316" s="56">
        <f>IF(A316="","",COUNTIFS('Stability Checks'!$A$5:$A$2000,A316,'Stability Checks'!$C$5:$C$2000,"Re-prompt",'Stability Checks'!$E$5:$E$2000,"Pass"))</f>
        <v/>
      </c>
      <c r="R316" s="47">
        <f>IF(A316="","",'Run Plan'!Q316)</f>
        <v/>
      </c>
      <c r="S316" s="50" t="n"/>
    </row>
    <row r="317" ht="15.75" customHeight="1" s="40">
      <c r="A317" s="55">
        <f>IF('Run Plan'!A317="","",'Run Plan'!A317)</f>
        <v/>
      </c>
      <c r="B317" s="55">
        <f>IF(A317="","",'Run Plan'!C317)</f>
        <v/>
      </c>
      <c r="C317" s="55">
        <f>IF(A317="","",'Run Plan'!E317)</f>
        <v/>
      </c>
      <c r="D317" s="54">
        <f>IF(A317="","",'Run Plan'!G317)</f>
        <v/>
      </c>
      <c r="E317" s="47">
        <f>IF(A317="","",'Run Plan'!K317)</f>
        <v/>
      </c>
      <c r="F317" s="47">
        <f>IF(A317="","",'Run Plan'!J317)</f>
        <v/>
      </c>
      <c r="G317" s="56">
        <f>IF(A317="","",COUNTIF('Turn Log'!$B$5:$B$5000,A317))</f>
        <v/>
      </c>
      <c r="H317" s="56">
        <f>IF(A317="","",IFERROR(MINIFS('Turn Log'!$C$5:$C$5000,'Turn Log'!$B$5:$B$5000,A317,'Turn Log'!$Q$5:$Q$5000,"Pass"),""))</f>
        <v/>
      </c>
      <c r="I317" s="56">
        <f>IF(A317="","",IFERROR(MAXIFS('Turn Log'!$C$5:$C$5000,'Turn Log'!$B$5:$B$5000,A317),""))</f>
        <v/>
      </c>
      <c r="J317" s="56">
        <f>IF(A317="","",IFERROR(INDEX('Turn Log'!$Q$5:$Q$5000,MATCH(1,('Turn Log'!$B$5:$B$5000=A317)*('Turn Log'!$C$5:$C$5000=I317),0)),""))</f>
        <v/>
      </c>
      <c r="K317" s="56">
        <f>IF(A317="","",IFERROR(INDEX('Turn Log'!$R$5:$R$5000,MATCH(1,('Turn Log'!$B$5:$B$5000=A317)*('Turn Log'!$C$5:$C$5000=I317),0)),""))</f>
        <v/>
      </c>
      <c r="L317" s="56">
        <f>IF(A317="","",COUNTIFS('Turn Log'!$B$5:$B$5000,A317,'Turn Log'!$X$5:$X$5000,1))</f>
        <v/>
      </c>
      <c r="M317" s="56">
        <f>IF(A317="","",COUNTIFS('Turn Log'!$B$5:$B$5000,A317,'Turn Log'!$Y$5:$Y$5000,1))</f>
        <v/>
      </c>
      <c r="N317" s="56">
        <f>IF(A317="","",COUNTIFS('Turn Log'!$B$5:$B$5000,A317,'Turn Log'!$W$5:$W$5000,1))</f>
        <v/>
      </c>
      <c r="O317" s="56">
        <f>IF(H317="","No","Yes")</f>
        <v/>
      </c>
      <c r="P317" s="56">
        <f>IF(A317="","",COUNTIFS('Stability Checks'!$A$5:$A$2000,A317,'Stability Checks'!$C$5:$C$2000,"Re-execution",'Stability Checks'!$E$5:$E$2000,"Pass"))</f>
        <v/>
      </c>
      <c r="Q317" s="56">
        <f>IF(A317="","",COUNTIFS('Stability Checks'!$A$5:$A$2000,A317,'Stability Checks'!$C$5:$C$2000,"Re-prompt",'Stability Checks'!$E$5:$E$2000,"Pass"))</f>
        <v/>
      </c>
      <c r="R317" s="47">
        <f>IF(A317="","",'Run Plan'!Q317)</f>
        <v/>
      </c>
      <c r="S317" s="50" t="n"/>
    </row>
    <row r="318" ht="15.75" customHeight="1" s="40">
      <c r="A318" s="55">
        <f>IF('Run Plan'!A318="","",'Run Plan'!A318)</f>
        <v/>
      </c>
      <c r="B318" s="55">
        <f>IF(A318="","",'Run Plan'!C318)</f>
        <v/>
      </c>
      <c r="C318" s="55">
        <f>IF(A318="","",'Run Plan'!E318)</f>
        <v/>
      </c>
      <c r="D318" s="54">
        <f>IF(A318="","",'Run Plan'!G318)</f>
        <v/>
      </c>
      <c r="E318" s="47">
        <f>IF(A318="","",'Run Plan'!K318)</f>
        <v/>
      </c>
      <c r="F318" s="47">
        <f>IF(A318="","",'Run Plan'!J318)</f>
        <v/>
      </c>
      <c r="G318" s="56">
        <f>IF(A318="","",COUNTIF('Turn Log'!$B$5:$B$5000,A318))</f>
        <v/>
      </c>
      <c r="H318" s="56">
        <f>IF(A318="","",IFERROR(MINIFS('Turn Log'!$C$5:$C$5000,'Turn Log'!$B$5:$B$5000,A318,'Turn Log'!$Q$5:$Q$5000,"Pass"),""))</f>
        <v/>
      </c>
      <c r="I318" s="56">
        <f>IF(A318="","",IFERROR(MAXIFS('Turn Log'!$C$5:$C$5000,'Turn Log'!$B$5:$B$5000,A318),""))</f>
        <v/>
      </c>
      <c r="J318" s="56">
        <f>IF(A318="","",IFERROR(INDEX('Turn Log'!$Q$5:$Q$5000,MATCH(1,('Turn Log'!$B$5:$B$5000=A318)*('Turn Log'!$C$5:$C$5000=I318),0)),""))</f>
        <v/>
      </c>
      <c r="K318" s="56">
        <f>IF(A318="","",IFERROR(INDEX('Turn Log'!$R$5:$R$5000,MATCH(1,('Turn Log'!$B$5:$B$5000=A318)*('Turn Log'!$C$5:$C$5000=I318),0)),""))</f>
        <v/>
      </c>
      <c r="L318" s="56">
        <f>IF(A318="","",COUNTIFS('Turn Log'!$B$5:$B$5000,A318,'Turn Log'!$X$5:$X$5000,1))</f>
        <v/>
      </c>
      <c r="M318" s="56">
        <f>IF(A318="","",COUNTIFS('Turn Log'!$B$5:$B$5000,A318,'Turn Log'!$Y$5:$Y$5000,1))</f>
        <v/>
      </c>
      <c r="N318" s="56">
        <f>IF(A318="","",COUNTIFS('Turn Log'!$B$5:$B$5000,A318,'Turn Log'!$W$5:$W$5000,1))</f>
        <v/>
      </c>
      <c r="O318" s="56">
        <f>IF(H318="","No","Yes")</f>
        <v/>
      </c>
      <c r="P318" s="56">
        <f>IF(A318="","",COUNTIFS('Stability Checks'!$A$5:$A$2000,A318,'Stability Checks'!$C$5:$C$2000,"Re-execution",'Stability Checks'!$E$5:$E$2000,"Pass"))</f>
        <v/>
      </c>
      <c r="Q318" s="56">
        <f>IF(A318="","",COUNTIFS('Stability Checks'!$A$5:$A$2000,A318,'Stability Checks'!$C$5:$C$2000,"Re-prompt",'Stability Checks'!$E$5:$E$2000,"Pass"))</f>
        <v/>
      </c>
      <c r="R318" s="47">
        <f>IF(A318="","",'Run Plan'!Q318)</f>
        <v/>
      </c>
      <c r="S318" s="50" t="n"/>
    </row>
    <row r="319" ht="15.75" customHeight="1" s="40">
      <c r="A319" s="55">
        <f>IF('Run Plan'!A319="","",'Run Plan'!A319)</f>
        <v/>
      </c>
      <c r="B319" s="55">
        <f>IF(A319="","",'Run Plan'!C319)</f>
        <v/>
      </c>
      <c r="C319" s="55">
        <f>IF(A319="","",'Run Plan'!E319)</f>
        <v/>
      </c>
      <c r="D319" s="54">
        <f>IF(A319="","",'Run Plan'!G319)</f>
        <v/>
      </c>
      <c r="E319" s="47">
        <f>IF(A319="","",'Run Plan'!K319)</f>
        <v/>
      </c>
      <c r="F319" s="47">
        <f>IF(A319="","",'Run Plan'!J319)</f>
        <v/>
      </c>
      <c r="G319" s="56">
        <f>IF(A319="","",COUNTIF('Turn Log'!$B$5:$B$5000,A319))</f>
        <v/>
      </c>
      <c r="H319" s="56">
        <f>IF(A319="","",IFERROR(MINIFS('Turn Log'!$C$5:$C$5000,'Turn Log'!$B$5:$B$5000,A319,'Turn Log'!$Q$5:$Q$5000,"Pass"),""))</f>
        <v/>
      </c>
      <c r="I319" s="56">
        <f>IF(A319="","",IFERROR(MAXIFS('Turn Log'!$C$5:$C$5000,'Turn Log'!$B$5:$B$5000,A319),""))</f>
        <v/>
      </c>
      <c r="J319" s="56">
        <f>IF(A319="","",IFERROR(INDEX('Turn Log'!$Q$5:$Q$5000,MATCH(1,('Turn Log'!$B$5:$B$5000=A319)*('Turn Log'!$C$5:$C$5000=I319),0)),""))</f>
        <v/>
      </c>
      <c r="K319" s="56">
        <f>IF(A319="","",IFERROR(INDEX('Turn Log'!$R$5:$R$5000,MATCH(1,('Turn Log'!$B$5:$B$5000=A319)*('Turn Log'!$C$5:$C$5000=I319),0)),""))</f>
        <v/>
      </c>
      <c r="L319" s="56">
        <f>IF(A319="","",COUNTIFS('Turn Log'!$B$5:$B$5000,A319,'Turn Log'!$X$5:$X$5000,1))</f>
        <v/>
      </c>
      <c r="M319" s="56">
        <f>IF(A319="","",COUNTIFS('Turn Log'!$B$5:$B$5000,A319,'Turn Log'!$Y$5:$Y$5000,1))</f>
        <v/>
      </c>
      <c r="N319" s="56">
        <f>IF(A319="","",COUNTIFS('Turn Log'!$B$5:$B$5000,A319,'Turn Log'!$W$5:$W$5000,1))</f>
        <v/>
      </c>
      <c r="O319" s="56">
        <f>IF(H319="","No","Yes")</f>
        <v/>
      </c>
      <c r="P319" s="56">
        <f>IF(A319="","",COUNTIFS('Stability Checks'!$A$5:$A$2000,A319,'Stability Checks'!$C$5:$C$2000,"Re-execution",'Stability Checks'!$E$5:$E$2000,"Pass"))</f>
        <v/>
      </c>
      <c r="Q319" s="56">
        <f>IF(A319="","",COUNTIFS('Stability Checks'!$A$5:$A$2000,A319,'Stability Checks'!$C$5:$C$2000,"Re-prompt",'Stability Checks'!$E$5:$E$2000,"Pass"))</f>
        <v/>
      </c>
      <c r="R319" s="47">
        <f>IF(A319="","",'Run Plan'!Q319)</f>
        <v/>
      </c>
      <c r="S319" s="50" t="n"/>
    </row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autoFilter ref="$A$4:$S$304"/>
  <mergeCells count="2">
    <mergeCell ref="A2:S2"/>
    <mergeCell ref="A1:S1"/>
  </mergeCells>
  <conditionalFormatting sqref="A5:S304">
    <cfRule type="expression" priority="1" dxfId="0">
      <formula>$O5="Yes"</formula>
    </cfRule>
    <cfRule type="expression" priority="2" dxfId="3">
      <formula>$O5="No"</formula>
    </cfRule>
  </conditionalFormatting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6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24" customWidth="1" style="40" min="1" max="1"/>
    <col width="12" customWidth="1" style="40" min="2" max="2"/>
    <col width="16" customWidth="1" style="40" min="3" max="3"/>
    <col width="10" customWidth="1" style="40" min="4" max="4"/>
    <col width="14" customWidth="1" style="40" min="5" max="6"/>
    <col width="24" customWidth="1" style="40" min="7" max="7"/>
    <col width="32" customWidth="1" style="40" min="8" max="8"/>
    <col width="8.710000000000001" customWidth="1" style="40" min="9" max="26"/>
  </cols>
  <sheetData>
    <row r="1" ht="24" customHeight="1" s="40">
      <c r="A1" s="51" t="inlineStr">
        <is>
          <t>Stability Checks</t>
        </is>
      </c>
    </row>
    <row r="2">
      <c r="A2" s="53" t="inlineStr">
        <is>
          <t>Fill this only after a run first reaches Pass. Record re-execution, re-prompt, and perturbed-feedback checks here.</t>
        </is>
      </c>
      <c r="B2" s="43" t="n"/>
      <c r="C2" s="43" t="n"/>
      <c r="D2" s="43" t="n"/>
      <c r="E2" s="43" t="n"/>
      <c r="F2" s="43" t="n"/>
      <c r="G2" s="43" t="n"/>
      <c r="H2" s="43" t="n"/>
    </row>
    <row r="4" ht="27.75" customHeight="1" s="40">
      <c r="A4" s="46" t="inlineStr">
        <is>
          <t>run_id</t>
        </is>
      </c>
      <c r="B4" s="46" t="inlineStr">
        <is>
          <t>pass_turn</t>
        </is>
      </c>
      <c r="C4" s="46" t="inlineStr">
        <is>
          <t>check_type</t>
        </is>
      </c>
      <c r="D4" s="46" t="inlineStr">
        <is>
          <t>repeat_no</t>
        </is>
      </c>
      <c r="E4" s="46" t="inlineStr">
        <is>
          <t>outcome_state</t>
        </is>
      </c>
      <c r="F4" s="46" t="inlineStr">
        <is>
          <t>stable_pass?</t>
        </is>
      </c>
      <c r="G4" s="46" t="inlineStr">
        <is>
          <t>evidence_file</t>
        </is>
      </c>
      <c r="H4" s="46" t="inlineStr">
        <is>
          <t>notes</t>
        </is>
      </c>
    </row>
    <row r="5" s="40">
      <c r="A5" s="48" t="inlineStr">
        <is>
          <t>PILOT-LOCAL056-GPT51-F1-R1</t>
        </is>
      </c>
      <c r="B5" s="49" t="n">
        <v>2</v>
      </c>
      <c r="C5" s="50" t="inlineStr">
        <is>
          <t>Re-execution</t>
        </is>
      </c>
      <c r="D5" s="49" t="n">
        <v>1</v>
      </c>
      <c r="E5" s="30" t="inlineStr">
        <is>
          <t>Pass</t>
        </is>
      </c>
      <c r="F5" s="30" t="inlineStr">
        <is>
          <t>Yes</t>
        </is>
      </c>
      <c r="G5" s="50" t="inlineStr">
        <is>
          <t>screens/PILOT-LOCAL056-GPT51-F1-R1_reexec1.png</t>
        </is>
      </c>
      <c r="H5" s="50" t="inlineStr">
        <is>
          <t>Illustrative sample</t>
        </is>
      </c>
    </row>
    <row r="6">
      <c r="A6" s="48" t="inlineStr">
        <is>
          <t>PILOT-LOCAL056-GPT51-F1-R1</t>
        </is>
      </c>
      <c r="B6" s="49" t="n">
        <v>2</v>
      </c>
      <c r="C6" s="50" t="inlineStr">
        <is>
          <t>Re-prompt</t>
        </is>
      </c>
      <c r="D6" s="49" t="n">
        <v>1</v>
      </c>
      <c r="E6" s="30" t="inlineStr">
        <is>
          <t>Pass</t>
        </is>
      </c>
      <c r="F6" s="30" t="inlineStr">
        <is>
          <t>Yes</t>
        </is>
      </c>
      <c r="G6" s="50" t="inlineStr">
        <is>
          <t>responses/PILOT-LOCAL056-GPT51-F1-R1_reprompt1.txt</t>
        </is>
      </c>
      <c r="H6" s="50" t="inlineStr">
        <is>
          <t>Illustrative sample</t>
        </is>
      </c>
    </row>
    <row r="7" s="40">
      <c r="A7" s="48" t="inlineStr">
        <is>
          <t>LOCAL001-GPT-5-1-F1-R1</t>
        </is>
      </c>
      <c r="B7" s="49" t="n">
        <v>1</v>
      </c>
      <c r="C7" s="50" t="inlineStr">
        <is>
          <t>Re-execution</t>
        </is>
      </c>
      <c r="D7" s="49" t="n">
        <v>1</v>
      </c>
      <c r="E7" s="30" t="inlineStr">
        <is>
          <t>Pass</t>
        </is>
      </c>
      <c r="F7" s="30" t="inlineStr">
        <is>
          <t>Yes</t>
        </is>
      </c>
      <c r="G7" s="50" t="inlineStr">
        <is>
          <t>sql\LOCAL001-GPT-5-1-F1-R1_turn01.sql</t>
        </is>
      </c>
      <c r="H7" s="50" t="inlineStr"/>
    </row>
    <row r="8" s="40">
      <c r="A8" s="48" t="inlineStr">
        <is>
          <t>LOCAL001-GPT-5-1-F1-R1</t>
        </is>
      </c>
      <c r="B8" s="49" t="n">
        <v>1</v>
      </c>
      <c r="C8" s="50" t="inlineStr">
        <is>
          <t>Re-execution</t>
        </is>
      </c>
      <c r="D8" s="49" t="n">
        <v>2</v>
      </c>
      <c r="E8" s="30" t="inlineStr">
        <is>
          <t>Pass</t>
        </is>
      </c>
      <c r="F8" s="30" t="inlineStr">
        <is>
          <t>Yes</t>
        </is>
      </c>
      <c r="G8" s="50" t="inlineStr">
        <is>
          <t>sql\LOCAL001-GPT-5-1-F1-R1_turn01.sql</t>
        </is>
      </c>
      <c r="H8" s="50" t="inlineStr"/>
    </row>
    <row r="9" s="40">
      <c r="A9" s="48" t="inlineStr">
        <is>
          <t>LOCAL001-GPT-5-1-F1-R1</t>
        </is>
      </c>
      <c r="B9" s="49" t="n">
        <v>1</v>
      </c>
      <c r="C9" s="50" t="inlineStr">
        <is>
          <t>Re-execution</t>
        </is>
      </c>
      <c r="D9" s="49" t="n">
        <v>3</v>
      </c>
      <c r="E9" s="30" t="inlineStr">
        <is>
          <t>Pass</t>
        </is>
      </c>
      <c r="F9" s="30" t="inlineStr">
        <is>
          <t>Yes</t>
        </is>
      </c>
      <c r="G9" s="50" t="inlineStr">
        <is>
          <t>sql\LOCAL001-GPT-5-1-F1-R1_turn01.sql</t>
        </is>
      </c>
      <c r="H9" s="50" t="inlineStr"/>
    </row>
    <row r="10">
      <c r="A10" s="48" t="n"/>
      <c r="B10" s="49" t="n"/>
      <c r="C10" s="50" t="n"/>
      <c r="D10" s="49" t="n"/>
      <c r="E10" s="47" t="n"/>
      <c r="F10" s="47" t="n"/>
      <c r="G10" s="50" t="n"/>
      <c r="H10" s="50" t="n"/>
    </row>
    <row r="11">
      <c r="A11" s="48" t="n"/>
      <c r="B11" s="49" t="n"/>
      <c r="C11" s="50" t="n"/>
      <c r="D11" s="49" t="n"/>
      <c r="E11" s="47" t="n"/>
      <c r="F11" s="47" t="n"/>
      <c r="G11" s="50" t="n"/>
      <c r="H11" s="50" t="n"/>
    </row>
    <row r="12">
      <c r="A12" s="48" t="n"/>
      <c r="B12" s="49" t="n"/>
      <c r="C12" s="50" t="n"/>
      <c r="D12" s="49" t="n"/>
      <c r="E12" s="47" t="n"/>
      <c r="F12" s="47" t="n"/>
      <c r="G12" s="50" t="n"/>
      <c r="H12" s="50" t="n"/>
    </row>
    <row r="13">
      <c r="A13" s="48" t="n"/>
      <c r="B13" s="49" t="n"/>
      <c r="C13" s="50" t="n"/>
      <c r="D13" s="49" t="n"/>
      <c r="E13" s="47" t="n"/>
      <c r="F13" s="47" t="n"/>
      <c r="G13" s="50" t="n"/>
      <c r="H13" s="50" t="n"/>
    </row>
    <row r="14">
      <c r="A14" s="48" t="n"/>
      <c r="B14" s="49" t="n"/>
      <c r="C14" s="50" t="n"/>
      <c r="D14" s="49" t="n"/>
      <c r="E14" s="47" t="n"/>
      <c r="F14" s="47" t="n"/>
      <c r="G14" s="50" t="n"/>
      <c r="H14" s="50" t="n"/>
    </row>
    <row r="15">
      <c r="A15" s="48" t="n"/>
      <c r="B15" s="49" t="n"/>
      <c r="C15" s="50" t="n"/>
      <c r="D15" s="49" t="n"/>
      <c r="E15" s="47" t="n"/>
      <c r="F15" s="47" t="n"/>
      <c r="G15" s="50" t="n"/>
      <c r="H15" s="50" t="n"/>
    </row>
    <row r="16">
      <c r="A16" s="48" t="n"/>
      <c r="B16" s="49" t="n"/>
      <c r="C16" s="50" t="n"/>
      <c r="D16" s="49" t="n"/>
      <c r="E16" s="47" t="n"/>
      <c r="F16" s="47" t="n"/>
      <c r="G16" s="50" t="n"/>
      <c r="H16" s="50" t="n"/>
    </row>
    <row r="17">
      <c r="A17" s="48" t="n"/>
      <c r="B17" s="49" t="n"/>
      <c r="C17" s="50" t="n"/>
      <c r="D17" s="49" t="n"/>
      <c r="E17" s="47" t="n"/>
      <c r="F17" s="47" t="n"/>
      <c r="G17" s="50" t="n"/>
      <c r="H17" s="50" t="n"/>
    </row>
    <row r="18">
      <c r="A18" s="48" t="n"/>
      <c r="B18" s="49" t="n"/>
      <c r="C18" s="50" t="n"/>
      <c r="D18" s="49" t="n"/>
      <c r="E18" s="47" t="n"/>
      <c r="F18" s="47" t="n"/>
      <c r="G18" s="50" t="n"/>
      <c r="H18" s="50" t="n"/>
    </row>
    <row r="19">
      <c r="A19" s="48" t="n"/>
      <c r="B19" s="49" t="n"/>
      <c r="C19" s="50" t="n"/>
      <c r="D19" s="49" t="n"/>
      <c r="E19" s="47" t="n"/>
      <c r="F19" s="47" t="n"/>
      <c r="G19" s="50" t="n"/>
      <c r="H19" s="50" t="n"/>
    </row>
    <row r="20">
      <c r="A20" s="48" t="n"/>
      <c r="B20" s="49" t="n"/>
      <c r="C20" s="50" t="n"/>
      <c r="D20" s="49" t="n"/>
      <c r="E20" s="47" t="n"/>
      <c r="F20" s="47" t="n"/>
      <c r="G20" s="50" t="n"/>
      <c r="H20" s="50" t="n"/>
    </row>
    <row r="21" ht="15.75" customHeight="1" s="40">
      <c r="A21" s="48" t="n"/>
      <c r="B21" s="49" t="n"/>
      <c r="C21" s="50" t="n"/>
      <c r="D21" s="49" t="n"/>
      <c r="E21" s="47" t="n"/>
      <c r="F21" s="47" t="n"/>
      <c r="G21" s="50" t="n"/>
      <c r="H21" s="50" t="n"/>
    </row>
    <row r="22" ht="15.75" customHeight="1" s="40">
      <c r="A22" s="48" t="n"/>
      <c r="B22" s="49" t="n"/>
      <c r="C22" s="50" t="n"/>
      <c r="D22" s="49" t="n"/>
      <c r="E22" s="47" t="n"/>
      <c r="F22" s="47" t="n"/>
      <c r="G22" s="50" t="n"/>
      <c r="H22" s="50" t="n"/>
    </row>
    <row r="23" ht="15.75" customHeight="1" s="40">
      <c r="A23" s="48" t="n"/>
      <c r="B23" s="49" t="n"/>
      <c r="C23" s="50" t="n"/>
      <c r="D23" s="49" t="n"/>
      <c r="E23" s="47" t="n"/>
      <c r="F23" s="47" t="n"/>
      <c r="G23" s="50" t="n"/>
      <c r="H23" s="50" t="n"/>
    </row>
    <row r="24" ht="15.75" customHeight="1" s="40">
      <c r="A24" s="48" t="n"/>
      <c r="B24" s="49" t="n"/>
      <c r="C24" s="50" t="n"/>
      <c r="D24" s="49" t="n"/>
      <c r="E24" s="47" t="n"/>
      <c r="F24" s="47" t="n"/>
      <c r="G24" s="50" t="n"/>
      <c r="H24" s="50" t="n"/>
    </row>
    <row r="25" ht="15.75" customHeight="1" s="40">
      <c r="A25" s="48" t="n"/>
      <c r="B25" s="49" t="n"/>
      <c r="C25" s="50" t="n"/>
      <c r="D25" s="49" t="n"/>
      <c r="E25" s="47" t="n"/>
      <c r="F25" s="47" t="n"/>
      <c r="G25" s="50" t="n"/>
      <c r="H25" s="50" t="n"/>
    </row>
    <row r="26" ht="15.75" customHeight="1" s="40">
      <c r="A26" s="48" t="n"/>
      <c r="B26" s="49" t="n"/>
      <c r="C26" s="50" t="n"/>
      <c r="D26" s="49" t="n"/>
      <c r="E26" s="47" t="n"/>
      <c r="F26" s="47" t="n"/>
      <c r="G26" s="50" t="n"/>
      <c r="H26" s="50" t="n"/>
    </row>
    <row r="27" ht="15.75" customHeight="1" s="40">
      <c r="A27" s="48" t="n"/>
      <c r="B27" s="49" t="n"/>
      <c r="C27" s="50" t="n"/>
      <c r="D27" s="49" t="n"/>
      <c r="E27" s="47" t="n"/>
      <c r="F27" s="47" t="n"/>
      <c r="G27" s="50" t="n"/>
      <c r="H27" s="50" t="n"/>
    </row>
    <row r="28" ht="15.75" customHeight="1" s="40">
      <c r="A28" s="48" t="n"/>
      <c r="B28" s="49" t="n"/>
      <c r="C28" s="50" t="n"/>
      <c r="D28" s="49" t="n"/>
      <c r="E28" s="47" t="n"/>
      <c r="F28" s="47" t="n"/>
      <c r="G28" s="50" t="n"/>
      <c r="H28" s="50" t="n"/>
    </row>
    <row r="29" ht="15.75" customHeight="1" s="40">
      <c r="A29" s="48" t="n"/>
      <c r="B29" s="49" t="n"/>
      <c r="C29" s="50" t="n"/>
      <c r="D29" s="49" t="n"/>
      <c r="E29" s="47" t="n"/>
      <c r="F29" s="47" t="n"/>
      <c r="G29" s="50" t="n"/>
      <c r="H29" s="50" t="n"/>
    </row>
    <row r="30" ht="15.75" customHeight="1" s="40">
      <c r="A30" s="48" t="n"/>
      <c r="B30" s="49" t="n"/>
      <c r="C30" s="50" t="n"/>
      <c r="D30" s="49" t="n"/>
      <c r="E30" s="47" t="n"/>
      <c r="F30" s="47" t="n"/>
      <c r="G30" s="50" t="n"/>
      <c r="H30" s="50" t="n"/>
    </row>
    <row r="31" ht="15.75" customHeight="1" s="40">
      <c r="A31" s="48" t="n"/>
      <c r="B31" s="49" t="n"/>
      <c r="C31" s="50" t="n"/>
      <c r="D31" s="49" t="n"/>
      <c r="E31" s="47" t="n"/>
      <c r="F31" s="47" t="n"/>
      <c r="G31" s="50" t="n"/>
      <c r="H31" s="50" t="n"/>
    </row>
    <row r="32" ht="15.75" customHeight="1" s="40">
      <c r="A32" s="48" t="n"/>
      <c r="B32" s="49" t="n"/>
      <c r="C32" s="50" t="n"/>
      <c r="D32" s="49" t="n"/>
      <c r="E32" s="47" t="n"/>
      <c r="F32" s="47" t="n"/>
      <c r="G32" s="50" t="n"/>
      <c r="H32" s="50" t="n"/>
    </row>
    <row r="33" ht="15.75" customHeight="1" s="40">
      <c r="A33" s="48" t="n"/>
      <c r="B33" s="49" t="n"/>
      <c r="C33" s="50" t="n"/>
      <c r="D33" s="49" t="n"/>
      <c r="E33" s="47" t="n"/>
      <c r="F33" s="47" t="n"/>
      <c r="G33" s="50" t="n"/>
      <c r="H33" s="50" t="n"/>
    </row>
    <row r="34" ht="15.75" customHeight="1" s="40">
      <c r="A34" s="48" t="n"/>
      <c r="B34" s="49" t="n"/>
      <c r="C34" s="50" t="n"/>
      <c r="D34" s="49" t="n"/>
      <c r="E34" s="47" t="n"/>
      <c r="F34" s="47" t="n"/>
      <c r="G34" s="50" t="n"/>
      <c r="H34" s="50" t="n"/>
    </row>
    <row r="35" ht="15.75" customHeight="1" s="40">
      <c r="A35" s="48" t="n"/>
      <c r="B35" s="49" t="n"/>
      <c r="C35" s="50" t="n"/>
      <c r="D35" s="49" t="n"/>
      <c r="E35" s="47" t="n"/>
      <c r="F35" s="47" t="n"/>
      <c r="G35" s="50" t="n"/>
      <c r="H35" s="50" t="n"/>
    </row>
    <row r="36" ht="15.75" customHeight="1" s="40">
      <c r="A36" s="48" t="n"/>
      <c r="B36" s="49" t="n"/>
      <c r="C36" s="50" t="n"/>
      <c r="D36" s="49" t="n"/>
      <c r="E36" s="47" t="n"/>
      <c r="F36" s="47" t="n"/>
      <c r="G36" s="50" t="n"/>
      <c r="H36" s="50" t="n"/>
    </row>
    <row r="37" ht="15.75" customHeight="1" s="40">
      <c r="A37" s="48" t="n"/>
      <c r="B37" s="49" t="n"/>
      <c r="C37" s="50" t="n"/>
      <c r="D37" s="49" t="n"/>
      <c r="E37" s="47" t="n"/>
      <c r="F37" s="47" t="n"/>
      <c r="G37" s="50" t="n"/>
      <c r="H37" s="50" t="n"/>
    </row>
    <row r="38" ht="15.75" customHeight="1" s="40">
      <c r="A38" s="48" t="n"/>
      <c r="B38" s="49" t="n"/>
      <c r="C38" s="50" t="n"/>
      <c r="D38" s="49" t="n"/>
      <c r="E38" s="47" t="n"/>
      <c r="F38" s="47" t="n"/>
      <c r="G38" s="50" t="n"/>
      <c r="H38" s="50" t="n"/>
    </row>
    <row r="39" ht="15.75" customHeight="1" s="40">
      <c r="A39" s="48" t="n"/>
      <c r="B39" s="49" t="n"/>
      <c r="C39" s="50" t="n"/>
      <c r="D39" s="49" t="n"/>
      <c r="E39" s="47" t="n"/>
      <c r="F39" s="47" t="n"/>
      <c r="G39" s="50" t="n"/>
      <c r="H39" s="50" t="n"/>
    </row>
    <row r="40" ht="15.75" customHeight="1" s="40">
      <c r="A40" s="48" t="n"/>
      <c r="B40" s="49" t="n"/>
      <c r="C40" s="50" t="n"/>
      <c r="D40" s="49" t="n"/>
      <c r="E40" s="47" t="n"/>
      <c r="F40" s="47" t="n"/>
      <c r="G40" s="50" t="n"/>
      <c r="H40" s="50" t="n"/>
    </row>
    <row r="41" ht="15.75" customHeight="1" s="40">
      <c r="A41" s="48" t="n"/>
      <c r="B41" s="49" t="n"/>
      <c r="C41" s="50" t="n"/>
      <c r="D41" s="49" t="n"/>
      <c r="E41" s="47" t="n"/>
      <c r="F41" s="47" t="n"/>
      <c r="G41" s="50" t="n"/>
      <c r="H41" s="50" t="n"/>
    </row>
    <row r="42" ht="15.75" customHeight="1" s="40">
      <c r="A42" s="48" t="n"/>
      <c r="B42" s="49" t="n"/>
      <c r="C42" s="50" t="n"/>
      <c r="D42" s="49" t="n"/>
      <c r="E42" s="47" t="n"/>
      <c r="F42" s="47" t="n"/>
      <c r="G42" s="50" t="n"/>
      <c r="H42" s="50" t="n"/>
    </row>
    <row r="43" ht="15.75" customHeight="1" s="40">
      <c r="A43" s="48" t="n"/>
      <c r="B43" s="49" t="n"/>
      <c r="C43" s="50" t="n"/>
      <c r="D43" s="49" t="n"/>
      <c r="E43" s="47" t="n"/>
      <c r="F43" s="47" t="n"/>
      <c r="G43" s="50" t="n"/>
      <c r="H43" s="50" t="n"/>
    </row>
    <row r="44" ht="15.75" customHeight="1" s="40">
      <c r="A44" s="48" t="n"/>
      <c r="B44" s="49" t="n"/>
      <c r="C44" s="50" t="n"/>
      <c r="D44" s="49" t="n"/>
      <c r="E44" s="47" t="n"/>
      <c r="F44" s="47" t="n"/>
      <c r="G44" s="50" t="n"/>
      <c r="H44" s="50" t="n"/>
    </row>
    <row r="45" ht="15.75" customHeight="1" s="40">
      <c r="A45" s="48" t="n"/>
      <c r="B45" s="49" t="n"/>
      <c r="C45" s="50" t="n"/>
      <c r="D45" s="49" t="n"/>
      <c r="E45" s="47" t="n"/>
      <c r="F45" s="47" t="n"/>
      <c r="G45" s="50" t="n"/>
      <c r="H45" s="50" t="n"/>
    </row>
    <row r="46" ht="15.75" customHeight="1" s="40">
      <c r="A46" s="48" t="n"/>
      <c r="B46" s="49" t="n"/>
      <c r="C46" s="50" t="n"/>
      <c r="D46" s="49" t="n"/>
      <c r="E46" s="47" t="n"/>
      <c r="F46" s="47" t="n"/>
      <c r="G46" s="50" t="n"/>
      <c r="H46" s="50" t="n"/>
    </row>
    <row r="47" ht="15.75" customHeight="1" s="40">
      <c r="A47" s="48" t="n"/>
      <c r="B47" s="49" t="n"/>
      <c r="C47" s="50" t="n"/>
      <c r="D47" s="49" t="n"/>
      <c r="E47" s="47" t="n"/>
      <c r="F47" s="47" t="n"/>
      <c r="G47" s="50" t="n"/>
      <c r="H47" s="50" t="n"/>
    </row>
    <row r="48" ht="15.75" customHeight="1" s="40">
      <c r="A48" s="48" t="n"/>
      <c r="B48" s="49" t="n"/>
      <c r="C48" s="50" t="n"/>
      <c r="D48" s="49" t="n"/>
      <c r="E48" s="47" t="n"/>
      <c r="F48" s="47" t="n"/>
      <c r="G48" s="50" t="n"/>
      <c r="H48" s="50" t="n"/>
    </row>
    <row r="49" ht="15.75" customHeight="1" s="40">
      <c r="A49" s="48" t="n"/>
      <c r="B49" s="49" t="n"/>
      <c r="C49" s="50" t="n"/>
      <c r="D49" s="49" t="n"/>
      <c r="E49" s="47" t="n"/>
      <c r="F49" s="47" t="n"/>
      <c r="G49" s="50" t="n"/>
      <c r="H49" s="50" t="n"/>
    </row>
    <row r="50" ht="15.75" customHeight="1" s="40">
      <c r="A50" s="48" t="n"/>
      <c r="B50" s="49" t="n"/>
      <c r="C50" s="50" t="n"/>
      <c r="D50" s="49" t="n"/>
      <c r="E50" s="47" t="n"/>
      <c r="F50" s="47" t="n"/>
      <c r="G50" s="50" t="n"/>
      <c r="H50" s="50" t="n"/>
    </row>
    <row r="51" ht="15.75" customHeight="1" s="40">
      <c r="A51" s="48" t="n"/>
      <c r="B51" s="49" t="n"/>
      <c r="C51" s="50" t="n"/>
      <c r="D51" s="49" t="n"/>
      <c r="E51" s="47" t="n"/>
      <c r="F51" s="47" t="n"/>
      <c r="G51" s="50" t="n"/>
      <c r="H51" s="50" t="n"/>
    </row>
    <row r="52" ht="15.75" customHeight="1" s="40">
      <c r="A52" s="48" t="n"/>
      <c r="B52" s="49" t="n"/>
      <c r="C52" s="50" t="n"/>
      <c r="D52" s="49" t="n"/>
      <c r="E52" s="47" t="n"/>
      <c r="F52" s="47" t="n"/>
      <c r="G52" s="50" t="n"/>
      <c r="H52" s="50" t="n"/>
    </row>
    <row r="53" ht="15.75" customHeight="1" s="40">
      <c r="A53" s="48" t="n"/>
      <c r="B53" s="49" t="n"/>
      <c r="C53" s="50" t="n"/>
      <c r="D53" s="49" t="n"/>
      <c r="E53" s="47" t="n"/>
      <c r="F53" s="47" t="n"/>
      <c r="G53" s="50" t="n"/>
      <c r="H53" s="50" t="n"/>
    </row>
    <row r="54" ht="15.75" customHeight="1" s="40">
      <c r="A54" s="48" t="n"/>
      <c r="B54" s="49" t="n"/>
      <c r="C54" s="50" t="n"/>
      <c r="D54" s="49" t="n"/>
      <c r="E54" s="47" t="n"/>
      <c r="F54" s="47" t="n"/>
      <c r="G54" s="50" t="n"/>
      <c r="H54" s="50" t="n"/>
    </row>
    <row r="55" ht="15.75" customHeight="1" s="40">
      <c r="A55" s="48" t="n"/>
      <c r="B55" s="49" t="n"/>
      <c r="C55" s="50" t="n"/>
      <c r="D55" s="49" t="n"/>
      <c r="E55" s="47" t="n"/>
      <c r="F55" s="47" t="n"/>
      <c r="G55" s="50" t="n"/>
      <c r="H55" s="50" t="n"/>
    </row>
    <row r="56" ht="15.75" customHeight="1" s="40">
      <c r="A56" s="48" t="n"/>
      <c r="B56" s="49" t="n"/>
      <c r="C56" s="50" t="n"/>
      <c r="D56" s="49" t="n"/>
      <c r="E56" s="47" t="n"/>
      <c r="F56" s="47" t="n"/>
      <c r="G56" s="50" t="n"/>
      <c r="H56" s="50" t="n"/>
    </row>
    <row r="57" ht="15.75" customHeight="1" s="40">
      <c r="A57" s="48" t="n"/>
      <c r="B57" s="49" t="n"/>
      <c r="C57" s="50" t="n"/>
      <c r="D57" s="49" t="n"/>
      <c r="E57" s="47" t="n"/>
      <c r="F57" s="47" t="n"/>
      <c r="G57" s="50" t="n"/>
      <c r="H57" s="50" t="n"/>
    </row>
    <row r="58" ht="15.75" customHeight="1" s="40">
      <c r="A58" s="48" t="n"/>
      <c r="B58" s="49" t="n"/>
      <c r="C58" s="50" t="n"/>
      <c r="D58" s="49" t="n"/>
      <c r="E58" s="47" t="n"/>
      <c r="F58" s="47" t="n"/>
      <c r="G58" s="50" t="n"/>
      <c r="H58" s="50" t="n"/>
    </row>
    <row r="59" ht="15.75" customHeight="1" s="40">
      <c r="A59" s="48" t="n"/>
      <c r="B59" s="49" t="n"/>
      <c r="C59" s="50" t="n"/>
      <c r="D59" s="49" t="n"/>
      <c r="E59" s="47" t="n"/>
      <c r="F59" s="47" t="n"/>
      <c r="G59" s="50" t="n"/>
      <c r="H59" s="50" t="n"/>
    </row>
    <row r="60" ht="15.75" customHeight="1" s="40">
      <c r="A60" s="48" t="n"/>
      <c r="B60" s="49" t="n"/>
      <c r="C60" s="50" t="n"/>
      <c r="D60" s="49" t="n"/>
      <c r="E60" s="47" t="n"/>
      <c r="F60" s="47" t="n"/>
      <c r="G60" s="50" t="n"/>
      <c r="H60" s="50" t="n"/>
    </row>
    <row r="61" ht="15.75" customHeight="1" s="40">
      <c r="A61" s="48" t="n"/>
      <c r="B61" s="49" t="n"/>
      <c r="C61" s="50" t="n"/>
      <c r="D61" s="49" t="n"/>
      <c r="E61" s="47" t="n"/>
      <c r="F61" s="47" t="n"/>
      <c r="G61" s="50" t="n"/>
      <c r="H61" s="50" t="n"/>
    </row>
    <row r="62" ht="15.75" customHeight="1" s="40">
      <c r="A62" s="48" t="n"/>
      <c r="B62" s="49" t="n"/>
      <c r="C62" s="50" t="n"/>
      <c r="D62" s="49" t="n"/>
      <c r="E62" s="47" t="n"/>
      <c r="F62" s="47" t="n"/>
      <c r="G62" s="50" t="n"/>
      <c r="H62" s="50" t="n"/>
    </row>
    <row r="63" ht="15.75" customHeight="1" s="40">
      <c r="A63" s="48" t="n"/>
      <c r="B63" s="49" t="n"/>
      <c r="C63" s="50" t="n"/>
      <c r="D63" s="49" t="n"/>
      <c r="E63" s="47" t="n"/>
      <c r="F63" s="47" t="n"/>
      <c r="G63" s="50" t="n"/>
      <c r="H63" s="50" t="n"/>
    </row>
    <row r="64" ht="15.75" customHeight="1" s="40">
      <c r="A64" s="48" t="n"/>
      <c r="B64" s="49" t="n"/>
      <c r="C64" s="50" t="n"/>
      <c r="D64" s="49" t="n"/>
      <c r="E64" s="47" t="n"/>
      <c r="F64" s="47" t="n"/>
      <c r="G64" s="50" t="n"/>
      <c r="H64" s="50" t="n"/>
    </row>
    <row r="65" ht="15.75" customHeight="1" s="40">
      <c r="A65" s="48" t="n"/>
      <c r="B65" s="49" t="n"/>
      <c r="C65" s="50" t="n"/>
      <c r="D65" s="49" t="n"/>
      <c r="E65" s="47" t="n"/>
      <c r="F65" s="47" t="n"/>
      <c r="G65" s="50" t="n"/>
      <c r="H65" s="50" t="n"/>
    </row>
    <row r="66" ht="15.75" customHeight="1" s="40">
      <c r="A66" s="48" t="n"/>
      <c r="B66" s="49" t="n"/>
      <c r="C66" s="50" t="n"/>
      <c r="D66" s="49" t="n"/>
      <c r="E66" s="47" t="n"/>
      <c r="F66" s="47" t="n"/>
      <c r="G66" s="50" t="n"/>
      <c r="H66" s="50" t="n"/>
    </row>
    <row r="67" ht="15.75" customHeight="1" s="40">
      <c r="A67" s="48" t="n"/>
      <c r="B67" s="49" t="n"/>
      <c r="C67" s="50" t="n"/>
      <c r="D67" s="49" t="n"/>
      <c r="E67" s="47" t="n"/>
      <c r="F67" s="47" t="n"/>
      <c r="G67" s="50" t="n"/>
      <c r="H67" s="50" t="n"/>
    </row>
    <row r="68" ht="15.75" customHeight="1" s="40">
      <c r="A68" s="48" t="n"/>
      <c r="B68" s="49" t="n"/>
      <c r="C68" s="50" t="n"/>
      <c r="D68" s="49" t="n"/>
      <c r="E68" s="47" t="n"/>
      <c r="F68" s="47" t="n"/>
      <c r="G68" s="50" t="n"/>
      <c r="H68" s="50" t="n"/>
    </row>
    <row r="69" ht="15.75" customHeight="1" s="40">
      <c r="A69" s="48" t="n"/>
      <c r="B69" s="49" t="n"/>
      <c r="C69" s="50" t="n"/>
      <c r="D69" s="49" t="n"/>
      <c r="E69" s="47" t="n"/>
      <c r="F69" s="47" t="n"/>
      <c r="G69" s="50" t="n"/>
      <c r="H69" s="50" t="n"/>
    </row>
    <row r="70" ht="15.75" customHeight="1" s="40">
      <c r="A70" s="48" t="n"/>
      <c r="B70" s="49" t="n"/>
      <c r="C70" s="50" t="n"/>
      <c r="D70" s="49" t="n"/>
      <c r="E70" s="47" t="n"/>
      <c r="F70" s="47" t="n"/>
      <c r="G70" s="50" t="n"/>
      <c r="H70" s="50" t="n"/>
    </row>
    <row r="71" ht="15.75" customHeight="1" s="40">
      <c r="A71" s="48" t="n"/>
      <c r="B71" s="49" t="n"/>
      <c r="C71" s="50" t="n"/>
      <c r="D71" s="49" t="n"/>
      <c r="E71" s="47" t="n"/>
      <c r="F71" s="47" t="n"/>
      <c r="G71" s="50" t="n"/>
      <c r="H71" s="50" t="n"/>
    </row>
    <row r="72" ht="15.75" customHeight="1" s="40">
      <c r="A72" s="48" t="n"/>
      <c r="B72" s="49" t="n"/>
      <c r="C72" s="50" t="n"/>
      <c r="D72" s="49" t="n"/>
      <c r="E72" s="47" t="n"/>
      <c r="F72" s="47" t="n"/>
      <c r="G72" s="50" t="n"/>
      <c r="H72" s="50" t="n"/>
    </row>
    <row r="73" ht="15.75" customHeight="1" s="40">
      <c r="A73" s="48" t="n"/>
      <c r="B73" s="49" t="n"/>
      <c r="C73" s="50" t="n"/>
      <c r="D73" s="49" t="n"/>
      <c r="E73" s="47" t="n"/>
      <c r="F73" s="47" t="n"/>
      <c r="G73" s="50" t="n"/>
      <c r="H73" s="50" t="n"/>
    </row>
    <row r="74" ht="15.75" customHeight="1" s="40">
      <c r="A74" s="48" t="n"/>
      <c r="B74" s="49" t="n"/>
      <c r="C74" s="50" t="n"/>
      <c r="D74" s="49" t="n"/>
      <c r="E74" s="47" t="n"/>
      <c r="F74" s="47" t="n"/>
      <c r="G74" s="50" t="n"/>
      <c r="H74" s="50" t="n"/>
    </row>
    <row r="75" ht="15.75" customHeight="1" s="40">
      <c r="A75" s="48" t="n"/>
      <c r="B75" s="49" t="n"/>
      <c r="C75" s="50" t="n"/>
      <c r="D75" s="49" t="n"/>
      <c r="E75" s="47" t="n"/>
      <c r="F75" s="47" t="n"/>
      <c r="G75" s="50" t="n"/>
      <c r="H75" s="50" t="n"/>
    </row>
    <row r="76" ht="15.75" customHeight="1" s="40">
      <c r="A76" s="48" t="n"/>
      <c r="B76" s="49" t="n"/>
      <c r="C76" s="50" t="n"/>
      <c r="D76" s="49" t="n"/>
      <c r="E76" s="47" t="n"/>
      <c r="F76" s="47" t="n"/>
      <c r="G76" s="50" t="n"/>
      <c r="H76" s="50" t="n"/>
    </row>
    <row r="77" ht="15.75" customHeight="1" s="40">
      <c r="A77" s="48" t="n"/>
      <c r="B77" s="49" t="n"/>
      <c r="C77" s="50" t="n"/>
      <c r="D77" s="49" t="n"/>
      <c r="E77" s="47" t="n"/>
      <c r="F77" s="47" t="n"/>
      <c r="G77" s="50" t="n"/>
      <c r="H77" s="50" t="n"/>
    </row>
    <row r="78" ht="15.75" customHeight="1" s="40">
      <c r="A78" s="48" t="n"/>
      <c r="B78" s="49" t="n"/>
      <c r="C78" s="50" t="n"/>
      <c r="D78" s="49" t="n"/>
      <c r="E78" s="47" t="n"/>
      <c r="F78" s="47" t="n"/>
      <c r="G78" s="50" t="n"/>
      <c r="H78" s="50" t="n"/>
    </row>
    <row r="79" ht="15.75" customHeight="1" s="40">
      <c r="A79" s="48" t="n"/>
      <c r="B79" s="49" t="n"/>
      <c r="C79" s="50" t="n"/>
      <c r="D79" s="49" t="n"/>
      <c r="E79" s="47" t="n"/>
      <c r="F79" s="47" t="n"/>
      <c r="G79" s="50" t="n"/>
      <c r="H79" s="50" t="n"/>
    </row>
    <row r="80" ht="15.75" customHeight="1" s="40">
      <c r="A80" s="48" t="n"/>
      <c r="B80" s="49" t="n"/>
      <c r="C80" s="50" t="n"/>
      <c r="D80" s="49" t="n"/>
      <c r="E80" s="47" t="n"/>
      <c r="F80" s="47" t="n"/>
      <c r="G80" s="50" t="n"/>
      <c r="H80" s="50" t="n"/>
    </row>
    <row r="81" ht="15.75" customHeight="1" s="40">
      <c r="A81" s="48" t="n"/>
      <c r="B81" s="49" t="n"/>
      <c r="C81" s="50" t="n"/>
      <c r="D81" s="49" t="n"/>
      <c r="E81" s="47" t="n"/>
      <c r="F81" s="47" t="n"/>
      <c r="G81" s="50" t="n"/>
      <c r="H81" s="50" t="n"/>
    </row>
    <row r="82" ht="15.75" customHeight="1" s="40">
      <c r="A82" s="48" t="n"/>
      <c r="B82" s="49" t="n"/>
      <c r="C82" s="50" t="n"/>
      <c r="D82" s="49" t="n"/>
      <c r="E82" s="47" t="n"/>
      <c r="F82" s="47" t="n"/>
      <c r="G82" s="50" t="n"/>
      <c r="H82" s="50" t="n"/>
    </row>
    <row r="83" ht="15.75" customHeight="1" s="40">
      <c r="A83" s="48" t="n"/>
      <c r="B83" s="49" t="n"/>
      <c r="C83" s="50" t="n"/>
      <c r="D83" s="49" t="n"/>
      <c r="E83" s="47" t="n"/>
      <c r="F83" s="47" t="n"/>
      <c r="G83" s="50" t="n"/>
      <c r="H83" s="50" t="n"/>
    </row>
    <row r="84" ht="15.75" customHeight="1" s="40">
      <c r="A84" s="48" t="n"/>
      <c r="B84" s="49" t="n"/>
      <c r="C84" s="50" t="n"/>
      <c r="D84" s="49" t="n"/>
      <c r="E84" s="47" t="n"/>
      <c r="F84" s="47" t="n"/>
      <c r="G84" s="50" t="n"/>
      <c r="H84" s="50" t="n"/>
    </row>
    <row r="85" ht="15.75" customHeight="1" s="40">
      <c r="A85" s="48" t="n"/>
      <c r="B85" s="49" t="n"/>
      <c r="C85" s="50" t="n"/>
      <c r="D85" s="49" t="n"/>
      <c r="E85" s="47" t="n"/>
      <c r="F85" s="47" t="n"/>
      <c r="G85" s="50" t="n"/>
      <c r="H85" s="50" t="n"/>
    </row>
    <row r="86" ht="15.75" customHeight="1" s="40">
      <c r="A86" s="48" t="n"/>
      <c r="B86" s="49" t="n"/>
      <c r="C86" s="50" t="n"/>
      <c r="D86" s="49" t="n"/>
      <c r="E86" s="47" t="n"/>
      <c r="F86" s="47" t="n"/>
      <c r="G86" s="50" t="n"/>
      <c r="H86" s="50" t="n"/>
    </row>
    <row r="87" ht="15.75" customHeight="1" s="40">
      <c r="A87" s="48" t="n"/>
      <c r="B87" s="49" t="n"/>
      <c r="C87" s="50" t="n"/>
      <c r="D87" s="49" t="n"/>
      <c r="E87" s="47" t="n"/>
      <c r="F87" s="47" t="n"/>
      <c r="G87" s="50" t="n"/>
      <c r="H87" s="50" t="n"/>
    </row>
    <row r="88" ht="15.75" customHeight="1" s="40">
      <c r="A88" s="48" t="n"/>
      <c r="B88" s="49" t="n"/>
      <c r="C88" s="50" t="n"/>
      <c r="D88" s="49" t="n"/>
      <c r="E88" s="47" t="n"/>
      <c r="F88" s="47" t="n"/>
      <c r="G88" s="50" t="n"/>
      <c r="H88" s="50" t="n"/>
    </row>
    <row r="89" ht="15.75" customHeight="1" s="40">
      <c r="A89" s="48" t="n"/>
      <c r="B89" s="49" t="n"/>
      <c r="C89" s="50" t="n"/>
      <c r="D89" s="49" t="n"/>
      <c r="E89" s="47" t="n"/>
      <c r="F89" s="47" t="n"/>
      <c r="G89" s="50" t="n"/>
      <c r="H89" s="50" t="n"/>
    </row>
    <row r="90" ht="15.75" customHeight="1" s="40">
      <c r="A90" s="48" t="n"/>
      <c r="B90" s="49" t="n"/>
      <c r="C90" s="50" t="n"/>
      <c r="D90" s="49" t="n"/>
      <c r="E90" s="47" t="n"/>
      <c r="F90" s="47" t="n"/>
      <c r="G90" s="50" t="n"/>
      <c r="H90" s="50" t="n"/>
    </row>
    <row r="91" ht="15.75" customHeight="1" s="40">
      <c r="A91" s="48" t="n"/>
      <c r="B91" s="49" t="n"/>
      <c r="C91" s="50" t="n"/>
      <c r="D91" s="49" t="n"/>
      <c r="E91" s="47" t="n"/>
      <c r="F91" s="47" t="n"/>
      <c r="G91" s="50" t="n"/>
      <c r="H91" s="50" t="n"/>
    </row>
    <row r="92" ht="15.75" customHeight="1" s="40">
      <c r="A92" s="48" t="n"/>
      <c r="B92" s="49" t="n"/>
      <c r="C92" s="50" t="n"/>
      <c r="D92" s="49" t="n"/>
      <c r="E92" s="47" t="n"/>
      <c r="F92" s="47" t="n"/>
      <c r="G92" s="50" t="n"/>
      <c r="H92" s="50" t="n"/>
    </row>
    <row r="93" ht="15.75" customHeight="1" s="40">
      <c r="A93" s="48" t="n"/>
      <c r="B93" s="49" t="n"/>
      <c r="C93" s="50" t="n"/>
      <c r="D93" s="49" t="n"/>
      <c r="E93" s="47" t="n"/>
      <c r="F93" s="47" t="n"/>
      <c r="G93" s="50" t="n"/>
      <c r="H93" s="50" t="n"/>
    </row>
    <row r="94" ht="15.75" customHeight="1" s="40">
      <c r="A94" s="48" t="n"/>
      <c r="B94" s="49" t="n"/>
      <c r="C94" s="50" t="n"/>
      <c r="D94" s="49" t="n"/>
      <c r="E94" s="47" t="n"/>
      <c r="F94" s="47" t="n"/>
      <c r="G94" s="50" t="n"/>
      <c r="H94" s="50" t="n"/>
    </row>
    <row r="95" ht="15.75" customHeight="1" s="40">
      <c r="A95" s="48" t="n"/>
      <c r="B95" s="49" t="n"/>
      <c r="C95" s="50" t="n"/>
      <c r="D95" s="49" t="n"/>
      <c r="E95" s="47" t="n"/>
      <c r="F95" s="47" t="n"/>
      <c r="G95" s="50" t="n"/>
      <c r="H95" s="50" t="n"/>
    </row>
    <row r="96" ht="15.75" customHeight="1" s="40">
      <c r="A96" s="48" t="n"/>
      <c r="B96" s="49" t="n"/>
      <c r="C96" s="50" t="n"/>
      <c r="D96" s="49" t="n"/>
      <c r="E96" s="47" t="n"/>
      <c r="F96" s="47" t="n"/>
      <c r="G96" s="50" t="n"/>
      <c r="H96" s="50" t="n"/>
    </row>
    <row r="97" ht="15.75" customHeight="1" s="40">
      <c r="A97" s="48" t="n"/>
      <c r="B97" s="49" t="n"/>
      <c r="C97" s="50" t="n"/>
      <c r="D97" s="49" t="n"/>
      <c r="E97" s="47" t="n"/>
      <c r="F97" s="47" t="n"/>
      <c r="G97" s="50" t="n"/>
      <c r="H97" s="50" t="n"/>
    </row>
    <row r="98" ht="15.75" customHeight="1" s="40">
      <c r="A98" s="48" t="n"/>
      <c r="B98" s="49" t="n"/>
      <c r="C98" s="50" t="n"/>
      <c r="D98" s="49" t="n"/>
      <c r="E98" s="47" t="n"/>
      <c r="F98" s="47" t="n"/>
      <c r="G98" s="50" t="n"/>
      <c r="H98" s="50" t="n"/>
    </row>
    <row r="99" ht="15.75" customHeight="1" s="40">
      <c r="A99" s="48" t="n"/>
      <c r="B99" s="49" t="n"/>
      <c r="C99" s="50" t="n"/>
      <c r="D99" s="49" t="n"/>
      <c r="E99" s="47" t="n"/>
      <c r="F99" s="47" t="n"/>
      <c r="G99" s="50" t="n"/>
      <c r="H99" s="50" t="n"/>
    </row>
    <row r="100" ht="15.75" customHeight="1" s="40">
      <c r="A100" s="48" t="n"/>
      <c r="B100" s="49" t="n"/>
      <c r="C100" s="50" t="n"/>
      <c r="D100" s="49" t="n"/>
      <c r="E100" s="47" t="n"/>
      <c r="F100" s="47" t="n"/>
      <c r="G100" s="50" t="n"/>
      <c r="H100" s="50" t="n"/>
    </row>
    <row r="101" ht="15.75" customHeight="1" s="40">
      <c r="A101" s="48" t="n"/>
      <c r="B101" s="49" t="n"/>
      <c r="C101" s="50" t="n"/>
      <c r="D101" s="49" t="n"/>
      <c r="E101" s="47" t="n"/>
      <c r="F101" s="47" t="n"/>
      <c r="G101" s="50" t="n"/>
      <c r="H101" s="50" t="n"/>
    </row>
    <row r="102" ht="15.75" customHeight="1" s="40">
      <c r="A102" s="48" t="n"/>
      <c r="B102" s="49" t="n"/>
      <c r="C102" s="50" t="n"/>
      <c r="D102" s="49" t="n"/>
      <c r="E102" s="47" t="n"/>
      <c r="F102" s="47" t="n"/>
      <c r="G102" s="50" t="n"/>
      <c r="H102" s="50" t="n"/>
    </row>
    <row r="103" ht="15.75" customHeight="1" s="40">
      <c r="A103" s="48" t="n"/>
      <c r="B103" s="49" t="n"/>
      <c r="C103" s="50" t="n"/>
      <c r="D103" s="49" t="n"/>
      <c r="E103" s="47" t="n"/>
      <c r="F103" s="47" t="n"/>
      <c r="G103" s="50" t="n"/>
      <c r="H103" s="50" t="n"/>
    </row>
    <row r="104" ht="15.75" customHeight="1" s="40">
      <c r="A104" s="48" t="n"/>
      <c r="B104" s="49" t="n"/>
      <c r="C104" s="50" t="n"/>
      <c r="D104" s="49" t="n"/>
      <c r="E104" s="47" t="n"/>
      <c r="F104" s="47" t="n"/>
      <c r="G104" s="50" t="n"/>
      <c r="H104" s="50" t="n"/>
    </row>
    <row r="105" ht="15.75" customHeight="1" s="40">
      <c r="A105" s="48" t="n"/>
      <c r="B105" s="49" t="n"/>
      <c r="C105" s="50" t="n"/>
      <c r="D105" s="49" t="n"/>
      <c r="E105" s="47" t="n"/>
      <c r="F105" s="47" t="n"/>
      <c r="G105" s="50" t="n"/>
      <c r="H105" s="50" t="n"/>
    </row>
    <row r="106" ht="15.75" customHeight="1" s="40">
      <c r="A106" s="48" t="n"/>
      <c r="B106" s="49" t="n"/>
      <c r="C106" s="50" t="n"/>
      <c r="D106" s="49" t="n"/>
      <c r="E106" s="47" t="n"/>
      <c r="F106" s="47" t="n"/>
      <c r="G106" s="50" t="n"/>
      <c r="H106" s="50" t="n"/>
    </row>
    <row r="107" ht="15.75" customHeight="1" s="40">
      <c r="A107" s="48" t="n"/>
      <c r="B107" s="49" t="n"/>
      <c r="C107" s="50" t="n"/>
      <c r="D107" s="49" t="n"/>
      <c r="E107" s="47" t="n"/>
      <c r="F107" s="47" t="n"/>
      <c r="G107" s="50" t="n"/>
      <c r="H107" s="50" t="n"/>
    </row>
    <row r="108" ht="15.75" customHeight="1" s="40">
      <c r="A108" s="48" t="n"/>
      <c r="B108" s="49" t="n"/>
      <c r="C108" s="50" t="n"/>
      <c r="D108" s="49" t="n"/>
      <c r="E108" s="47" t="n"/>
      <c r="F108" s="47" t="n"/>
      <c r="G108" s="50" t="n"/>
      <c r="H108" s="50" t="n"/>
    </row>
    <row r="109" ht="15.75" customHeight="1" s="40">
      <c r="A109" s="48" t="n"/>
      <c r="B109" s="49" t="n"/>
      <c r="C109" s="50" t="n"/>
      <c r="D109" s="49" t="n"/>
      <c r="E109" s="47" t="n"/>
      <c r="F109" s="47" t="n"/>
      <c r="G109" s="50" t="n"/>
      <c r="H109" s="50" t="n"/>
    </row>
    <row r="110" ht="15.75" customHeight="1" s="40">
      <c r="A110" s="48" t="n"/>
      <c r="B110" s="49" t="n"/>
      <c r="C110" s="50" t="n"/>
      <c r="D110" s="49" t="n"/>
      <c r="E110" s="47" t="n"/>
      <c r="F110" s="47" t="n"/>
      <c r="G110" s="50" t="n"/>
      <c r="H110" s="50" t="n"/>
    </row>
    <row r="111" ht="15.75" customHeight="1" s="40">
      <c r="A111" s="48" t="n"/>
      <c r="B111" s="49" t="n"/>
      <c r="C111" s="50" t="n"/>
      <c r="D111" s="49" t="n"/>
      <c r="E111" s="47" t="n"/>
      <c r="F111" s="47" t="n"/>
      <c r="G111" s="50" t="n"/>
      <c r="H111" s="50" t="n"/>
    </row>
    <row r="112" ht="15.75" customHeight="1" s="40">
      <c r="A112" s="48" t="n"/>
      <c r="B112" s="49" t="n"/>
      <c r="C112" s="50" t="n"/>
      <c r="D112" s="49" t="n"/>
      <c r="E112" s="47" t="n"/>
      <c r="F112" s="47" t="n"/>
      <c r="G112" s="50" t="n"/>
      <c r="H112" s="50" t="n"/>
    </row>
    <row r="113" ht="15.75" customHeight="1" s="40">
      <c r="A113" s="48" t="n"/>
      <c r="B113" s="49" t="n"/>
      <c r="C113" s="50" t="n"/>
      <c r="D113" s="49" t="n"/>
      <c r="E113" s="47" t="n"/>
      <c r="F113" s="47" t="n"/>
      <c r="G113" s="50" t="n"/>
      <c r="H113" s="50" t="n"/>
    </row>
    <row r="114" ht="15.75" customHeight="1" s="40">
      <c r="A114" s="48" t="n"/>
      <c r="B114" s="49" t="n"/>
      <c r="C114" s="50" t="n"/>
      <c r="D114" s="49" t="n"/>
      <c r="E114" s="47" t="n"/>
      <c r="F114" s="47" t="n"/>
      <c r="G114" s="50" t="n"/>
      <c r="H114" s="50" t="n"/>
    </row>
    <row r="115" ht="15.75" customHeight="1" s="40">
      <c r="A115" s="48" t="n"/>
      <c r="B115" s="49" t="n"/>
      <c r="C115" s="50" t="n"/>
      <c r="D115" s="49" t="n"/>
      <c r="E115" s="47" t="n"/>
      <c r="F115" s="47" t="n"/>
      <c r="G115" s="50" t="n"/>
      <c r="H115" s="50" t="n"/>
    </row>
    <row r="116" ht="15.75" customHeight="1" s="40">
      <c r="A116" s="48" t="n"/>
      <c r="B116" s="49" t="n"/>
      <c r="C116" s="50" t="n"/>
      <c r="D116" s="49" t="n"/>
      <c r="E116" s="47" t="n"/>
      <c r="F116" s="47" t="n"/>
      <c r="G116" s="50" t="n"/>
      <c r="H116" s="50" t="n"/>
    </row>
    <row r="117" ht="15.75" customHeight="1" s="40">
      <c r="A117" s="48" t="n"/>
      <c r="B117" s="49" t="n"/>
      <c r="C117" s="50" t="n"/>
      <c r="D117" s="49" t="n"/>
      <c r="E117" s="47" t="n"/>
      <c r="F117" s="47" t="n"/>
      <c r="G117" s="50" t="n"/>
      <c r="H117" s="50" t="n"/>
    </row>
    <row r="118" ht="15.75" customHeight="1" s="40">
      <c r="A118" s="48" t="n"/>
      <c r="B118" s="49" t="n"/>
      <c r="C118" s="50" t="n"/>
      <c r="D118" s="49" t="n"/>
      <c r="E118" s="47" t="n"/>
      <c r="F118" s="47" t="n"/>
      <c r="G118" s="50" t="n"/>
      <c r="H118" s="50" t="n"/>
    </row>
    <row r="119" ht="15.75" customHeight="1" s="40">
      <c r="A119" s="48" t="n"/>
      <c r="B119" s="49" t="n"/>
      <c r="C119" s="50" t="n"/>
      <c r="D119" s="49" t="n"/>
      <c r="E119" s="47" t="n"/>
      <c r="F119" s="47" t="n"/>
      <c r="G119" s="50" t="n"/>
      <c r="H119" s="50" t="n"/>
    </row>
    <row r="120" ht="15.75" customHeight="1" s="40">
      <c r="A120" s="48" t="n"/>
      <c r="B120" s="49" t="n"/>
      <c r="C120" s="50" t="n"/>
      <c r="D120" s="49" t="n"/>
      <c r="E120" s="47" t="n"/>
      <c r="F120" s="47" t="n"/>
      <c r="G120" s="50" t="n"/>
      <c r="H120" s="50" t="n"/>
    </row>
    <row r="121" ht="15.75" customHeight="1" s="40">
      <c r="A121" s="48" t="n"/>
      <c r="B121" s="49" t="n"/>
      <c r="C121" s="50" t="n"/>
      <c r="D121" s="49" t="n"/>
      <c r="E121" s="47" t="n"/>
      <c r="F121" s="47" t="n"/>
      <c r="G121" s="50" t="n"/>
      <c r="H121" s="50" t="n"/>
    </row>
    <row r="122" ht="15.75" customHeight="1" s="40">
      <c r="A122" s="48" t="n"/>
      <c r="B122" s="49" t="n"/>
      <c r="C122" s="50" t="n"/>
      <c r="D122" s="49" t="n"/>
      <c r="E122" s="47" t="n"/>
      <c r="F122" s="47" t="n"/>
      <c r="G122" s="50" t="n"/>
      <c r="H122" s="50" t="n"/>
    </row>
    <row r="123" ht="15.75" customHeight="1" s="40">
      <c r="A123" s="48" t="n"/>
      <c r="B123" s="49" t="n"/>
      <c r="C123" s="50" t="n"/>
      <c r="D123" s="49" t="n"/>
      <c r="E123" s="47" t="n"/>
      <c r="F123" s="47" t="n"/>
      <c r="G123" s="50" t="n"/>
      <c r="H123" s="50" t="n"/>
    </row>
    <row r="124" ht="15.75" customHeight="1" s="40">
      <c r="A124" s="48" t="n"/>
      <c r="B124" s="49" t="n"/>
      <c r="C124" s="50" t="n"/>
      <c r="D124" s="49" t="n"/>
      <c r="E124" s="47" t="n"/>
      <c r="F124" s="47" t="n"/>
      <c r="G124" s="50" t="n"/>
      <c r="H124" s="50" t="n"/>
    </row>
    <row r="125" ht="15.75" customHeight="1" s="40">
      <c r="A125" s="48" t="n"/>
      <c r="B125" s="49" t="n"/>
      <c r="C125" s="50" t="n"/>
      <c r="D125" s="49" t="n"/>
      <c r="E125" s="47" t="n"/>
      <c r="F125" s="47" t="n"/>
      <c r="G125" s="50" t="n"/>
      <c r="H125" s="50" t="n"/>
    </row>
    <row r="126" ht="15.75" customHeight="1" s="40">
      <c r="A126" s="48" t="n"/>
      <c r="B126" s="49" t="n"/>
      <c r="C126" s="50" t="n"/>
      <c r="D126" s="49" t="n"/>
      <c r="E126" s="47" t="n"/>
      <c r="F126" s="47" t="n"/>
      <c r="G126" s="50" t="n"/>
      <c r="H126" s="50" t="n"/>
    </row>
    <row r="127" ht="15.75" customHeight="1" s="40">
      <c r="A127" s="48" t="n"/>
      <c r="B127" s="49" t="n"/>
      <c r="C127" s="50" t="n"/>
      <c r="D127" s="49" t="n"/>
      <c r="E127" s="47" t="n"/>
      <c r="F127" s="47" t="n"/>
      <c r="G127" s="50" t="n"/>
      <c r="H127" s="50" t="n"/>
    </row>
    <row r="128" ht="15.75" customHeight="1" s="40">
      <c r="A128" s="48" t="n"/>
      <c r="B128" s="49" t="n"/>
      <c r="C128" s="50" t="n"/>
      <c r="D128" s="49" t="n"/>
      <c r="E128" s="47" t="n"/>
      <c r="F128" s="47" t="n"/>
      <c r="G128" s="50" t="n"/>
      <c r="H128" s="50" t="n"/>
    </row>
    <row r="129" ht="15.75" customHeight="1" s="40">
      <c r="A129" s="48" t="n"/>
      <c r="B129" s="49" t="n"/>
      <c r="C129" s="50" t="n"/>
      <c r="D129" s="49" t="n"/>
      <c r="E129" s="47" t="n"/>
      <c r="F129" s="47" t="n"/>
      <c r="G129" s="50" t="n"/>
      <c r="H129" s="50" t="n"/>
    </row>
    <row r="130" ht="15.75" customHeight="1" s="40">
      <c r="A130" s="48" t="n"/>
      <c r="B130" s="49" t="n"/>
      <c r="C130" s="50" t="n"/>
      <c r="D130" s="49" t="n"/>
      <c r="E130" s="47" t="n"/>
      <c r="F130" s="47" t="n"/>
      <c r="G130" s="50" t="n"/>
      <c r="H130" s="50" t="n"/>
    </row>
    <row r="131" ht="15.75" customHeight="1" s="40">
      <c r="A131" s="48" t="n"/>
      <c r="B131" s="49" t="n"/>
      <c r="C131" s="50" t="n"/>
      <c r="D131" s="49" t="n"/>
      <c r="E131" s="47" t="n"/>
      <c r="F131" s="47" t="n"/>
      <c r="G131" s="50" t="n"/>
      <c r="H131" s="50" t="n"/>
    </row>
    <row r="132" ht="15.75" customHeight="1" s="40">
      <c r="A132" s="48" t="n"/>
      <c r="B132" s="49" t="n"/>
      <c r="C132" s="50" t="n"/>
      <c r="D132" s="49" t="n"/>
      <c r="E132" s="47" t="n"/>
      <c r="F132" s="47" t="n"/>
      <c r="G132" s="50" t="n"/>
      <c r="H132" s="50" t="n"/>
    </row>
    <row r="133" ht="15.75" customHeight="1" s="40">
      <c r="A133" s="48" t="n"/>
      <c r="B133" s="49" t="n"/>
      <c r="C133" s="50" t="n"/>
      <c r="D133" s="49" t="n"/>
      <c r="E133" s="47" t="n"/>
      <c r="F133" s="47" t="n"/>
      <c r="G133" s="50" t="n"/>
      <c r="H133" s="50" t="n"/>
    </row>
    <row r="134" ht="15.75" customHeight="1" s="40">
      <c r="A134" s="48" t="n"/>
      <c r="B134" s="49" t="n"/>
      <c r="C134" s="50" t="n"/>
      <c r="D134" s="49" t="n"/>
      <c r="E134" s="47" t="n"/>
      <c r="F134" s="47" t="n"/>
      <c r="G134" s="50" t="n"/>
      <c r="H134" s="50" t="n"/>
    </row>
    <row r="135" ht="15.75" customHeight="1" s="40">
      <c r="A135" s="48" t="n"/>
      <c r="B135" s="49" t="n"/>
      <c r="C135" s="50" t="n"/>
      <c r="D135" s="49" t="n"/>
      <c r="E135" s="47" t="n"/>
      <c r="F135" s="47" t="n"/>
      <c r="G135" s="50" t="n"/>
      <c r="H135" s="50" t="n"/>
    </row>
    <row r="136" ht="15.75" customHeight="1" s="40">
      <c r="A136" s="48" t="n"/>
      <c r="B136" s="49" t="n"/>
      <c r="C136" s="50" t="n"/>
      <c r="D136" s="49" t="n"/>
      <c r="E136" s="47" t="n"/>
      <c r="F136" s="47" t="n"/>
      <c r="G136" s="50" t="n"/>
      <c r="H136" s="50" t="n"/>
    </row>
    <row r="137" ht="15.75" customHeight="1" s="40">
      <c r="A137" s="48" t="n"/>
      <c r="B137" s="49" t="n"/>
      <c r="C137" s="50" t="n"/>
      <c r="D137" s="49" t="n"/>
      <c r="E137" s="47" t="n"/>
      <c r="F137" s="47" t="n"/>
      <c r="G137" s="50" t="n"/>
      <c r="H137" s="50" t="n"/>
    </row>
    <row r="138" ht="15.75" customHeight="1" s="40">
      <c r="A138" s="48" t="n"/>
      <c r="B138" s="49" t="n"/>
      <c r="C138" s="50" t="n"/>
      <c r="D138" s="49" t="n"/>
      <c r="E138" s="47" t="n"/>
      <c r="F138" s="47" t="n"/>
      <c r="G138" s="50" t="n"/>
      <c r="H138" s="50" t="n"/>
    </row>
    <row r="139" ht="15.75" customHeight="1" s="40">
      <c r="A139" s="48" t="n"/>
      <c r="B139" s="49" t="n"/>
      <c r="C139" s="50" t="n"/>
      <c r="D139" s="49" t="n"/>
      <c r="E139" s="47" t="n"/>
      <c r="F139" s="47" t="n"/>
      <c r="G139" s="50" t="n"/>
      <c r="H139" s="50" t="n"/>
    </row>
    <row r="140" ht="15.75" customHeight="1" s="40">
      <c r="A140" s="48" t="n"/>
      <c r="B140" s="49" t="n"/>
      <c r="C140" s="50" t="n"/>
      <c r="D140" s="49" t="n"/>
      <c r="E140" s="47" t="n"/>
      <c r="F140" s="47" t="n"/>
      <c r="G140" s="50" t="n"/>
      <c r="H140" s="50" t="n"/>
    </row>
    <row r="141" ht="15.75" customHeight="1" s="40">
      <c r="A141" s="48" t="n"/>
      <c r="B141" s="49" t="n"/>
      <c r="C141" s="50" t="n"/>
      <c r="D141" s="49" t="n"/>
      <c r="E141" s="47" t="n"/>
      <c r="F141" s="47" t="n"/>
      <c r="G141" s="50" t="n"/>
      <c r="H141" s="50" t="n"/>
    </row>
    <row r="142" ht="15.75" customHeight="1" s="40">
      <c r="A142" s="48" t="n"/>
      <c r="B142" s="49" t="n"/>
      <c r="C142" s="50" t="n"/>
      <c r="D142" s="49" t="n"/>
      <c r="E142" s="47" t="n"/>
      <c r="F142" s="47" t="n"/>
      <c r="G142" s="50" t="n"/>
      <c r="H142" s="50" t="n"/>
    </row>
    <row r="143" ht="15.75" customHeight="1" s="40">
      <c r="A143" s="48" t="n"/>
      <c r="B143" s="49" t="n"/>
      <c r="C143" s="50" t="n"/>
      <c r="D143" s="49" t="n"/>
      <c r="E143" s="47" t="n"/>
      <c r="F143" s="47" t="n"/>
      <c r="G143" s="50" t="n"/>
      <c r="H143" s="50" t="n"/>
    </row>
    <row r="144" ht="15.75" customHeight="1" s="40">
      <c r="A144" s="48" t="n"/>
      <c r="B144" s="49" t="n"/>
      <c r="C144" s="50" t="n"/>
      <c r="D144" s="49" t="n"/>
      <c r="E144" s="47" t="n"/>
      <c r="F144" s="47" t="n"/>
      <c r="G144" s="50" t="n"/>
      <c r="H144" s="50" t="n"/>
    </row>
    <row r="145" ht="15.75" customHeight="1" s="40">
      <c r="A145" s="48" t="n"/>
      <c r="B145" s="49" t="n"/>
      <c r="C145" s="50" t="n"/>
      <c r="D145" s="49" t="n"/>
      <c r="E145" s="47" t="n"/>
      <c r="F145" s="47" t="n"/>
      <c r="G145" s="50" t="n"/>
      <c r="H145" s="50" t="n"/>
    </row>
    <row r="146" ht="15.75" customHeight="1" s="40">
      <c r="A146" s="48" t="n"/>
      <c r="B146" s="49" t="n"/>
      <c r="C146" s="50" t="n"/>
      <c r="D146" s="49" t="n"/>
      <c r="E146" s="47" t="n"/>
      <c r="F146" s="47" t="n"/>
      <c r="G146" s="50" t="n"/>
      <c r="H146" s="50" t="n"/>
    </row>
    <row r="147" ht="15.75" customHeight="1" s="40">
      <c r="A147" s="48" t="n"/>
      <c r="B147" s="49" t="n"/>
      <c r="C147" s="50" t="n"/>
      <c r="D147" s="49" t="n"/>
      <c r="E147" s="47" t="n"/>
      <c r="F147" s="47" t="n"/>
      <c r="G147" s="50" t="n"/>
      <c r="H147" s="50" t="n"/>
    </row>
    <row r="148" ht="15.75" customHeight="1" s="40">
      <c r="A148" s="48" t="n"/>
      <c r="B148" s="49" t="n"/>
      <c r="C148" s="50" t="n"/>
      <c r="D148" s="49" t="n"/>
      <c r="E148" s="47" t="n"/>
      <c r="F148" s="47" t="n"/>
      <c r="G148" s="50" t="n"/>
      <c r="H148" s="50" t="n"/>
    </row>
    <row r="149" ht="15.75" customHeight="1" s="40">
      <c r="A149" s="48" t="n"/>
      <c r="B149" s="49" t="n"/>
      <c r="C149" s="50" t="n"/>
      <c r="D149" s="49" t="n"/>
      <c r="E149" s="47" t="n"/>
      <c r="F149" s="47" t="n"/>
      <c r="G149" s="50" t="n"/>
      <c r="H149" s="50" t="n"/>
    </row>
    <row r="150" ht="15.75" customHeight="1" s="40">
      <c r="A150" s="48" t="n"/>
      <c r="B150" s="49" t="n"/>
      <c r="C150" s="50" t="n"/>
      <c r="D150" s="49" t="n"/>
      <c r="E150" s="47" t="n"/>
      <c r="F150" s="47" t="n"/>
      <c r="G150" s="50" t="n"/>
      <c r="H150" s="50" t="n"/>
    </row>
    <row r="151" ht="15.75" customHeight="1" s="40">
      <c r="A151" s="48" t="n"/>
      <c r="B151" s="49" t="n"/>
      <c r="C151" s="50" t="n"/>
      <c r="D151" s="49" t="n"/>
      <c r="E151" s="47" t="n"/>
      <c r="F151" s="47" t="n"/>
      <c r="G151" s="50" t="n"/>
      <c r="H151" s="50" t="n"/>
    </row>
    <row r="152" ht="15.75" customHeight="1" s="40">
      <c r="A152" s="48" t="n"/>
      <c r="B152" s="49" t="n"/>
      <c r="C152" s="50" t="n"/>
      <c r="D152" s="49" t="n"/>
      <c r="E152" s="47" t="n"/>
      <c r="F152" s="47" t="n"/>
      <c r="G152" s="50" t="n"/>
      <c r="H152" s="50" t="n"/>
    </row>
    <row r="153" ht="15.75" customHeight="1" s="40">
      <c r="A153" s="48" t="n"/>
      <c r="B153" s="49" t="n"/>
      <c r="C153" s="50" t="n"/>
      <c r="D153" s="49" t="n"/>
      <c r="E153" s="47" t="n"/>
      <c r="F153" s="47" t="n"/>
      <c r="G153" s="50" t="n"/>
      <c r="H153" s="50" t="n"/>
    </row>
    <row r="154" ht="15.75" customHeight="1" s="40">
      <c r="A154" s="48" t="n"/>
      <c r="B154" s="49" t="n"/>
      <c r="C154" s="50" t="n"/>
      <c r="D154" s="49" t="n"/>
      <c r="E154" s="47" t="n"/>
      <c r="F154" s="47" t="n"/>
      <c r="G154" s="50" t="n"/>
      <c r="H154" s="50" t="n"/>
    </row>
    <row r="155" ht="15.75" customHeight="1" s="40">
      <c r="A155" s="48" t="n"/>
      <c r="B155" s="49" t="n"/>
      <c r="C155" s="50" t="n"/>
      <c r="D155" s="49" t="n"/>
      <c r="E155" s="47" t="n"/>
      <c r="F155" s="47" t="n"/>
      <c r="G155" s="50" t="n"/>
      <c r="H155" s="50" t="n"/>
    </row>
    <row r="156" ht="15.75" customHeight="1" s="40">
      <c r="A156" s="48" t="n"/>
      <c r="B156" s="49" t="n"/>
      <c r="C156" s="50" t="n"/>
      <c r="D156" s="49" t="n"/>
      <c r="E156" s="47" t="n"/>
      <c r="F156" s="47" t="n"/>
      <c r="G156" s="50" t="n"/>
      <c r="H156" s="50" t="n"/>
    </row>
    <row r="157" ht="15.75" customHeight="1" s="40">
      <c r="A157" s="48" t="n"/>
      <c r="B157" s="49" t="n"/>
      <c r="C157" s="50" t="n"/>
      <c r="D157" s="49" t="n"/>
      <c r="E157" s="47" t="n"/>
      <c r="F157" s="47" t="n"/>
      <c r="G157" s="50" t="n"/>
      <c r="H157" s="50" t="n"/>
    </row>
    <row r="158" ht="15.75" customHeight="1" s="40">
      <c r="A158" s="48" t="n"/>
      <c r="B158" s="49" t="n"/>
      <c r="C158" s="50" t="n"/>
      <c r="D158" s="49" t="n"/>
      <c r="E158" s="47" t="n"/>
      <c r="F158" s="47" t="n"/>
      <c r="G158" s="50" t="n"/>
      <c r="H158" s="50" t="n"/>
    </row>
    <row r="159" ht="15.75" customHeight="1" s="40">
      <c r="A159" s="48" t="n"/>
      <c r="B159" s="49" t="n"/>
      <c r="C159" s="50" t="n"/>
      <c r="D159" s="49" t="n"/>
      <c r="E159" s="47" t="n"/>
      <c r="F159" s="47" t="n"/>
      <c r="G159" s="50" t="n"/>
      <c r="H159" s="50" t="n"/>
    </row>
    <row r="160" ht="15.75" customHeight="1" s="40">
      <c r="A160" s="48" t="n"/>
      <c r="B160" s="49" t="n"/>
      <c r="C160" s="50" t="n"/>
      <c r="D160" s="49" t="n"/>
      <c r="E160" s="47" t="n"/>
      <c r="F160" s="47" t="n"/>
      <c r="G160" s="50" t="n"/>
      <c r="H160" s="50" t="n"/>
    </row>
    <row r="161" ht="15.75" customHeight="1" s="40">
      <c r="A161" s="48" t="n"/>
      <c r="B161" s="49" t="n"/>
      <c r="C161" s="50" t="n"/>
      <c r="D161" s="49" t="n"/>
      <c r="E161" s="47" t="n"/>
      <c r="F161" s="47" t="n"/>
      <c r="G161" s="50" t="n"/>
      <c r="H161" s="50" t="n"/>
    </row>
    <row r="162" ht="15.75" customHeight="1" s="40">
      <c r="A162" s="48" t="n"/>
      <c r="B162" s="49" t="n"/>
      <c r="C162" s="50" t="n"/>
      <c r="D162" s="49" t="n"/>
      <c r="E162" s="47" t="n"/>
      <c r="F162" s="47" t="n"/>
      <c r="G162" s="50" t="n"/>
      <c r="H162" s="50" t="n"/>
    </row>
    <row r="163" ht="15.75" customHeight="1" s="40">
      <c r="A163" s="48" t="n"/>
      <c r="B163" s="49" t="n"/>
      <c r="C163" s="50" t="n"/>
      <c r="D163" s="49" t="n"/>
      <c r="E163" s="47" t="n"/>
      <c r="F163" s="47" t="n"/>
      <c r="G163" s="50" t="n"/>
      <c r="H163" s="50" t="n"/>
    </row>
    <row r="164" ht="15.75" customHeight="1" s="40">
      <c r="A164" s="48" t="n"/>
      <c r="B164" s="49" t="n"/>
      <c r="C164" s="50" t="n"/>
      <c r="D164" s="49" t="n"/>
      <c r="E164" s="47" t="n"/>
      <c r="F164" s="47" t="n"/>
      <c r="G164" s="50" t="n"/>
      <c r="H164" s="50" t="n"/>
    </row>
    <row r="165" ht="15.75" customHeight="1" s="40">
      <c r="A165" s="48" t="n"/>
      <c r="B165" s="49" t="n"/>
      <c r="C165" s="50" t="n"/>
      <c r="D165" s="49" t="n"/>
      <c r="E165" s="47" t="n"/>
      <c r="F165" s="47" t="n"/>
      <c r="G165" s="50" t="n"/>
      <c r="H165" s="50" t="n"/>
    </row>
    <row r="166" ht="15.75" customHeight="1" s="40">
      <c r="A166" s="48" t="n"/>
      <c r="B166" s="49" t="n"/>
      <c r="C166" s="50" t="n"/>
      <c r="D166" s="49" t="n"/>
      <c r="E166" s="47" t="n"/>
      <c r="F166" s="47" t="n"/>
      <c r="G166" s="50" t="n"/>
      <c r="H166" s="50" t="n"/>
    </row>
    <row r="167" ht="15.75" customHeight="1" s="40">
      <c r="A167" s="48" t="n"/>
      <c r="B167" s="49" t="n"/>
      <c r="C167" s="50" t="n"/>
      <c r="D167" s="49" t="n"/>
      <c r="E167" s="47" t="n"/>
      <c r="F167" s="47" t="n"/>
      <c r="G167" s="50" t="n"/>
      <c r="H167" s="50" t="n"/>
    </row>
    <row r="168" ht="15.75" customHeight="1" s="40">
      <c r="A168" s="48" t="n"/>
      <c r="B168" s="49" t="n"/>
      <c r="C168" s="50" t="n"/>
      <c r="D168" s="49" t="n"/>
      <c r="E168" s="47" t="n"/>
      <c r="F168" s="47" t="n"/>
      <c r="G168" s="50" t="n"/>
      <c r="H168" s="50" t="n"/>
    </row>
    <row r="169" ht="15.75" customHeight="1" s="40">
      <c r="A169" s="48" t="n"/>
      <c r="B169" s="49" t="n"/>
      <c r="C169" s="50" t="n"/>
      <c r="D169" s="49" t="n"/>
      <c r="E169" s="47" t="n"/>
      <c r="F169" s="47" t="n"/>
      <c r="G169" s="50" t="n"/>
      <c r="H169" s="50" t="n"/>
    </row>
    <row r="170" ht="15.75" customHeight="1" s="40">
      <c r="A170" s="48" t="n"/>
      <c r="B170" s="49" t="n"/>
      <c r="C170" s="50" t="n"/>
      <c r="D170" s="49" t="n"/>
      <c r="E170" s="47" t="n"/>
      <c r="F170" s="47" t="n"/>
      <c r="G170" s="50" t="n"/>
      <c r="H170" s="50" t="n"/>
    </row>
    <row r="171" ht="15.75" customHeight="1" s="40">
      <c r="A171" s="48" t="n"/>
      <c r="B171" s="49" t="n"/>
      <c r="C171" s="50" t="n"/>
      <c r="D171" s="49" t="n"/>
      <c r="E171" s="47" t="n"/>
      <c r="F171" s="47" t="n"/>
      <c r="G171" s="50" t="n"/>
      <c r="H171" s="50" t="n"/>
    </row>
    <row r="172" ht="15.75" customHeight="1" s="40">
      <c r="A172" s="48" t="n"/>
      <c r="B172" s="49" t="n"/>
      <c r="C172" s="50" t="n"/>
      <c r="D172" s="49" t="n"/>
      <c r="E172" s="47" t="n"/>
      <c r="F172" s="47" t="n"/>
      <c r="G172" s="50" t="n"/>
      <c r="H172" s="50" t="n"/>
    </row>
    <row r="173" ht="15.75" customHeight="1" s="40">
      <c r="A173" s="48" t="n"/>
      <c r="B173" s="49" t="n"/>
      <c r="C173" s="50" t="n"/>
      <c r="D173" s="49" t="n"/>
      <c r="E173" s="47" t="n"/>
      <c r="F173" s="47" t="n"/>
      <c r="G173" s="50" t="n"/>
      <c r="H173" s="50" t="n"/>
    </row>
    <row r="174" ht="15.75" customHeight="1" s="40">
      <c r="A174" s="48" t="n"/>
      <c r="B174" s="49" t="n"/>
      <c r="C174" s="50" t="n"/>
      <c r="D174" s="49" t="n"/>
      <c r="E174" s="47" t="n"/>
      <c r="F174" s="47" t="n"/>
      <c r="G174" s="50" t="n"/>
      <c r="H174" s="50" t="n"/>
    </row>
    <row r="175" ht="15.75" customHeight="1" s="40">
      <c r="A175" s="48" t="n"/>
      <c r="B175" s="49" t="n"/>
      <c r="C175" s="50" t="n"/>
      <c r="D175" s="49" t="n"/>
      <c r="E175" s="47" t="n"/>
      <c r="F175" s="47" t="n"/>
      <c r="G175" s="50" t="n"/>
      <c r="H175" s="50" t="n"/>
    </row>
    <row r="176" ht="15.75" customHeight="1" s="40">
      <c r="A176" s="48" t="n"/>
      <c r="B176" s="49" t="n"/>
      <c r="C176" s="50" t="n"/>
      <c r="D176" s="49" t="n"/>
      <c r="E176" s="47" t="n"/>
      <c r="F176" s="47" t="n"/>
      <c r="G176" s="50" t="n"/>
      <c r="H176" s="50" t="n"/>
    </row>
    <row r="177" ht="15.75" customHeight="1" s="40">
      <c r="A177" s="48" t="n"/>
      <c r="B177" s="49" t="n"/>
      <c r="C177" s="50" t="n"/>
      <c r="D177" s="49" t="n"/>
      <c r="E177" s="47" t="n"/>
      <c r="F177" s="47" t="n"/>
      <c r="G177" s="50" t="n"/>
      <c r="H177" s="50" t="n"/>
    </row>
    <row r="178" ht="15.75" customHeight="1" s="40">
      <c r="A178" s="48" t="n"/>
      <c r="B178" s="49" t="n"/>
      <c r="C178" s="50" t="n"/>
      <c r="D178" s="49" t="n"/>
      <c r="E178" s="47" t="n"/>
      <c r="F178" s="47" t="n"/>
      <c r="G178" s="50" t="n"/>
      <c r="H178" s="50" t="n"/>
    </row>
    <row r="179" ht="15.75" customHeight="1" s="40">
      <c r="A179" s="48" t="n"/>
      <c r="B179" s="49" t="n"/>
      <c r="C179" s="50" t="n"/>
      <c r="D179" s="49" t="n"/>
      <c r="E179" s="47" t="n"/>
      <c r="F179" s="47" t="n"/>
      <c r="G179" s="50" t="n"/>
      <c r="H179" s="50" t="n"/>
    </row>
    <row r="180" ht="15.75" customHeight="1" s="40">
      <c r="A180" s="48" t="n"/>
      <c r="B180" s="49" t="n"/>
      <c r="C180" s="50" t="n"/>
      <c r="D180" s="49" t="n"/>
      <c r="E180" s="47" t="n"/>
      <c r="F180" s="47" t="n"/>
      <c r="G180" s="50" t="n"/>
      <c r="H180" s="50" t="n"/>
    </row>
    <row r="181" ht="15.75" customHeight="1" s="40">
      <c r="A181" s="48" t="n"/>
      <c r="B181" s="49" t="n"/>
      <c r="C181" s="50" t="n"/>
      <c r="D181" s="49" t="n"/>
      <c r="E181" s="47" t="n"/>
      <c r="F181" s="47" t="n"/>
      <c r="G181" s="50" t="n"/>
      <c r="H181" s="50" t="n"/>
    </row>
    <row r="182" ht="15.75" customHeight="1" s="40">
      <c r="A182" s="48" t="n"/>
      <c r="B182" s="49" t="n"/>
      <c r="C182" s="50" t="n"/>
      <c r="D182" s="49" t="n"/>
      <c r="E182" s="47" t="n"/>
      <c r="F182" s="47" t="n"/>
      <c r="G182" s="50" t="n"/>
      <c r="H182" s="50" t="n"/>
    </row>
    <row r="183" ht="15.75" customHeight="1" s="40">
      <c r="A183" s="48" t="n"/>
      <c r="B183" s="49" t="n"/>
      <c r="C183" s="50" t="n"/>
      <c r="D183" s="49" t="n"/>
      <c r="E183" s="47" t="n"/>
      <c r="F183" s="47" t="n"/>
      <c r="G183" s="50" t="n"/>
      <c r="H183" s="50" t="n"/>
    </row>
    <row r="184" ht="15.75" customHeight="1" s="40">
      <c r="A184" s="48" t="n"/>
      <c r="B184" s="49" t="n"/>
      <c r="C184" s="50" t="n"/>
      <c r="D184" s="49" t="n"/>
      <c r="E184" s="47" t="n"/>
      <c r="F184" s="47" t="n"/>
      <c r="G184" s="50" t="n"/>
      <c r="H184" s="50" t="n"/>
    </row>
    <row r="185" ht="15.75" customHeight="1" s="40">
      <c r="A185" s="48" t="n"/>
      <c r="B185" s="49" t="n"/>
      <c r="C185" s="50" t="n"/>
      <c r="D185" s="49" t="n"/>
      <c r="E185" s="47" t="n"/>
      <c r="F185" s="47" t="n"/>
      <c r="G185" s="50" t="n"/>
      <c r="H185" s="50" t="n"/>
    </row>
    <row r="186" ht="15.75" customHeight="1" s="40">
      <c r="A186" s="48" t="n"/>
      <c r="B186" s="49" t="n"/>
      <c r="C186" s="50" t="n"/>
      <c r="D186" s="49" t="n"/>
      <c r="E186" s="47" t="n"/>
      <c r="F186" s="47" t="n"/>
      <c r="G186" s="50" t="n"/>
      <c r="H186" s="50" t="n"/>
    </row>
    <row r="187" ht="15.75" customHeight="1" s="40">
      <c r="A187" s="48" t="n"/>
      <c r="B187" s="49" t="n"/>
      <c r="C187" s="50" t="n"/>
      <c r="D187" s="49" t="n"/>
      <c r="E187" s="47" t="n"/>
      <c r="F187" s="47" t="n"/>
      <c r="G187" s="50" t="n"/>
      <c r="H187" s="50" t="n"/>
    </row>
    <row r="188" ht="15.75" customHeight="1" s="40">
      <c r="A188" s="48" t="n"/>
      <c r="B188" s="49" t="n"/>
      <c r="C188" s="50" t="n"/>
      <c r="D188" s="49" t="n"/>
      <c r="E188" s="47" t="n"/>
      <c r="F188" s="47" t="n"/>
      <c r="G188" s="50" t="n"/>
      <c r="H188" s="50" t="n"/>
    </row>
    <row r="189" ht="15.75" customHeight="1" s="40">
      <c r="A189" s="48" t="n"/>
      <c r="B189" s="49" t="n"/>
      <c r="C189" s="50" t="n"/>
      <c r="D189" s="49" t="n"/>
      <c r="E189" s="47" t="n"/>
      <c r="F189" s="47" t="n"/>
      <c r="G189" s="50" t="n"/>
      <c r="H189" s="50" t="n"/>
    </row>
    <row r="190" ht="15.75" customHeight="1" s="40">
      <c r="A190" s="48" t="n"/>
      <c r="B190" s="49" t="n"/>
      <c r="C190" s="50" t="n"/>
      <c r="D190" s="49" t="n"/>
      <c r="E190" s="47" t="n"/>
      <c r="F190" s="47" t="n"/>
      <c r="G190" s="50" t="n"/>
      <c r="H190" s="50" t="n"/>
    </row>
    <row r="191" ht="15.75" customHeight="1" s="40">
      <c r="A191" s="48" t="n"/>
      <c r="B191" s="49" t="n"/>
      <c r="C191" s="50" t="n"/>
      <c r="D191" s="49" t="n"/>
      <c r="E191" s="47" t="n"/>
      <c r="F191" s="47" t="n"/>
      <c r="G191" s="50" t="n"/>
      <c r="H191" s="50" t="n"/>
    </row>
    <row r="192" ht="15.75" customHeight="1" s="40">
      <c r="A192" s="48" t="n"/>
      <c r="B192" s="49" t="n"/>
      <c r="C192" s="50" t="n"/>
      <c r="D192" s="49" t="n"/>
      <c r="E192" s="47" t="n"/>
      <c r="F192" s="47" t="n"/>
      <c r="G192" s="50" t="n"/>
      <c r="H192" s="50" t="n"/>
    </row>
    <row r="193" ht="15.75" customHeight="1" s="40">
      <c r="A193" s="48" t="n"/>
      <c r="B193" s="49" t="n"/>
      <c r="C193" s="50" t="n"/>
      <c r="D193" s="49" t="n"/>
      <c r="E193" s="47" t="n"/>
      <c r="F193" s="47" t="n"/>
      <c r="G193" s="50" t="n"/>
      <c r="H193" s="50" t="n"/>
    </row>
    <row r="194" ht="15.75" customHeight="1" s="40">
      <c r="A194" s="48" t="n"/>
      <c r="B194" s="49" t="n"/>
      <c r="C194" s="50" t="n"/>
      <c r="D194" s="49" t="n"/>
      <c r="E194" s="47" t="n"/>
      <c r="F194" s="47" t="n"/>
      <c r="G194" s="50" t="n"/>
      <c r="H194" s="50" t="n"/>
    </row>
    <row r="195" ht="15.75" customHeight="1" s="40">
      <c r="A195" s="48" t="n"/>
      <c r="B195" s="49" t="n"/>
      <c r="C195" s="50" t="n"/>
      <c r="D195" s="49" t="n"/>
      <c r="E195" s="47" t="n"/>
      <c r="F195" s="47" t="n"/>
      <c r="G195" s="50" t="n"/>
      <c r="H195" s="50" t="n"/>
    </row>
    <row r="196" ht="15.75" customHeight="1" s="40">
      <c r="A196" s="48" t="n"/>
      <c r="B196" s="49" t="n"/>
      <c r="C196" s="50" t="n"/>
      <c r="D196" s="49" t="n"/>
      <c r="E196" s="47" t="n"/>
      <c r="F196" s="47" t="n"/>
      <c r="G196" s="50" t="n"/>
      <c r="H196" s="50" t="n"/>
    </row>
    <row r="197" ht="15.75" customHeight="1" s="40">
      <c r="A197" s="48" t="n"/>
      <c r="B197" s="49" t="n"/>
      <c r="C197" s="50" t="n"/>
      <c r="D197" s="49" t="n"/>
      <c r="E197" s="47" t="n"/>
      <c r="F197" s="47" t="n"/>
      <c r="G197" s="50" t="n"/>
      <c r="H197" s="50" t="n"/>
    </row>
    <row r="198" ht="15.75" customHeight="1" s="40">
      <c r="A198" s="48" t="n"/>
      <c r="B198" s="49" t="n"/>
      <c r="C198" s="50" t="n"/>
      <c r="D198" s="49" t="n"/>
      <c r="E198" s="47" t="n"/>
      <c r="F198" s="47" t="n"/>
      <c r="G198" s="50" t="n"/>
      <c r="H198" s="50" t="n"/>
    </row>
    <row r="199" ht="15.75" customHeight="1" s="40">
      <c r="A199" s="48" t="n"/>
      <c r="B199" s="49" t="n"/>
      <c r="C199" s="50" t="n"/>
      <c r="D199" s="49" t="n"/>
      <c r="E199" s="47" t="n"/>
      <c r="F199" s="47" t="n"/>
      <c r="G199" s="50" t="n"/>
      <c r="H199" s="50" t="n"/>
    </row>
    <row r="200" ht="15.75" customHeight="1" s="40">
      <c r="A200" s="48" t="n"/>
      <c r="B200" s="49" t="n"/>
      <c r="C200" s="50" t="n"/>
      <c r="D200" s="49" t="n"/>
      <c r="E200" s="47" t="n"/>
      <c r="F200" s="47" t="n"/>
      <c r="G200" s="50" t="n"/>
      <c r="H200" s="50" t="n"/>
    </row>
    <row r="201" ht="15.75" customHeight="1" s="40">
      <c r="A201" s="48" t="n"/>
      <c r="B201" s="49" t="n"/>
      <c r="C201" s="50" t="n"/>
      <c r="D201" s="49" t="n"/>
      <c r="E201" s="47" t="n"/>
      <c r="F201" s="47" t="n"/>
      <c r="G201" s="50" t="n"/>
      <c r="H201" s="50" t="n"/>
    </row>
    <row r="202" ht="15.75" customHeight="1" s="40">
      <c r="A202" s="48" t="n"/>
      <c r="B202" s="49" t="n"/>
      <c r="C202" s="50" t="n"/>
      <c r="D202" s="49" t="n"/>
      <c r="E202" s="47" t="n"/>
      <c r="F202" s="47" t="n"/>
      <c r="G202" s="50" t="n"/>
      <c r="H202" s="50" t="n"/>
    </row>
    <row r="203" ht="15.75" customHeight="1" s="40">
      <c r="A203" s="48" t="n"/>
      <c r="B203" s="49" t="n"/>
      <c r="C203" s="50" t="n"/>
      <c r="D203" s="49" t="n"/>
      <c r="E203" s="47" t="n"/>
      <c r="F203" s="47" t="n"/>
      <c r="G203" s="50" t="n"/>
      <c r="H203" s="50" t="n"/>
    </row>
    <row r="204" ht="15.75" customHeight="1" s="40">
      <c r="A204" s="48" t="n"/>
      <c r="B204" s="49" t="n"/>
      <c r="C204" s="50" t="n"/>
      <c r="D204" s="49" t="n"/>
      <c r="E204" s="47" t="n"/>
      <c r="F204" s="47" t="n"/>
      <c r="G204" s="50" t="n"/>
      <c r="H204" s="50" t="n"/>
    </row>
    <row r="205" ht="15.75" customHeight="1" s="40">
      <c r="A205" s="48" t="n"/>
      <c r="B205" s="49" t="n"/>
      <c r="C205" s="50" t="n"/>
      <c r="D205" s="49" t="n"/>
      <c r="E205" s="47" t="n"/>
      <c r="F205" s="47" t="n"/>
      <c r="G205" s="50" t="n"/>
      <c r="H205" s="50" t="n"/>
    </row>
    <row r="206" ht="15.75" customHeight="1" s="40">
      <c r="A206" s="48" t="n"/>
      <c r="B206" s="49" t="n"/>
      <c r="C206" s="50" t="n"/>
      <c r="D206" s="49" t="n"/>
      <c r="E206" s="47" t="n"/>
      <c r="F206" s="47" t="n"/>
      <c r="G206" s="50" t="n"/>
      <c r="H206" s="50" t="n"/>
    </row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autoFilter ref="$A$4:$H$206"/>
  <mergeCells count="2">
    <mergeCell ref="A2:H2"/>
    <mergeCell ref="A1:H1"/>
  </mergeCell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24" customWidth="1" style="40" min="1" max="1"/>
    <col width="14" customWidth="1" style="40" min="2" max="2"/>
    <col width="34" customWidth="1" style="40" min="3" max="3"/>
    <col width="24" customWidth="1" style="40" min="4" max="4"/>
    <col width="34" customWidth="1" style="40" min="5" max="5"/>
    <col width="26" customWidth="1" style="40" min="6" max="6"/>
    <col width="8.710000000000001" customWidth="1" style="40" min="7" max="26"/>
  </cols>
  <sheetData>
    <row r="1" ht="24" customHeight="1" s="40">
      <c r="A1" s="51" t="inlineStr">
        <is>
          <t>Metrics Dictionary</t>
        </is>
      </c>
    </row>
    <row r="3" ht="27.75" customHeight="1" s="40">
      <c r="A3" s="46" t="inlineStr">
        <is>
          <t>metric_name</t>
        </is>
      </c>
      <c r="B3" s="46" t="inlineStr">
        <is>
          <t>level</t>
        </is>
      </c>
      <c r="C3" s="46" t="inlineStr">
        <is>
          <t>what it means</t>
        </is>
      </c>
      <c r="D3" s="46" t="inlineStr">
        <is>
          <t>how it is computed</t>
        </is>
      </c>
      <c r="E3" s="46" t="inlineStr">
        <is>
          <t>source sheet</t>
        </is>
      </c>
      <c r="F3" s="46" t="inlineStr">
        <is>
          <t>how to interpret it</t>
        </is>
      </c>
    </row>
    <row r="4">
      <c r="A4" s="55" t="inlineStr">
        <is>
          <t>exec_state</t>
        </is>
      </c>
      <c r="B4" s="53" t="inlineStr">
        <is>
          <t>Turn</t>
        </is>
      </c>
      <c r="C4" s="48" t="inlineStr">
        <is>
          <t>Primary label for one executed turn</t>
        </is>
      </c>
      <c r="D4" s="48" t="inlineStr">
        <is>
          <t>Manual label chosen from Lookups state list</t>
        </is>
      </c>
      <c r="E4" s="48" t="inlineStr">
        <is>
          <t>Turn Log</t>
        </is>
      </c>
      <c r="F4" s="48" t="inlineStr">
        <is>
          <t>Use to build state transitions and error distributions.</t>
        </is>
      </c>
    </row>
    <row r="5">
      <c r="A5" s="55" t="inlineStr">
        <is>
          <t>severity</t>
        </is>
      </c>
      <c r="B5" s="53" t="inlineStr">
        <is>
          <t>Turn</t>
        </is>
      </c>
      <c r="C5" s="48" t="inlineStr">
        <is>
          <t>Ordinal error severity score</t>
        </is>
      </c>
      <c r="D5" s="48" t="inlineStr">
        <is>
          <t>VLOOKUP from exec_state to severity</t>
        </is>
      </c>
      <c r="E5" s="48" t="inlineStr">
        <is>
          <t>Turn Log</t>
        </is>
      </c>
      <c r="F5" s="48" t="inlineStr">
        <is>
          <t>Lower is better; Pass = 0.</t>
        </is>
      </c>
    </row>
    <row r="6">
      <c r="A6" s="55" t="inlineStr">
        <is>
          <t>improved</t>
        </is>
      </c>
      <c r="B6" s="53" t="inlineStr">
        <is>
          <t>Turn</t>
        </is>
      </c>
      <c r="C6" s="48" t="inlineStr">
        <is>
          <t>Whether the turn is better than the prior turn</t>
        </is>
      </c>
      <c r="D6" s="48" t="inlineStr">
        <is>
          <t>1 if severity &lt; prev_severity</t>
        </is>
      </c>
      <c r="E6" s="48" t="inlineStr">
        <is>
          <t>Turn Log</t>
        </is>
      </c>
      <c r="F6" s="48" t="inlineStr">
        <is>
          <t>Use to estimate error reduction.</t>
        </is>
      </c>
    </row>
    <row r="7">
      <c r="A7" s="55" t="inlineStr">
        <is>
          <t>regressed</t>
        </is>
      </c>
      <c r="B7" s="53" t="inlineStr">
        <is>
          <t>Turn</t>
        </is>
      </c>
      <c r="C7" s="48" t="inlineStr">
        <is>
          <t>Whether the turn is worse than the prior turn</t>
        </is>
      </c>
      <c r="D7" s="48" t="inlineStr">
        <is>
          <t>1 if severity &gt; prev_severity</t>
        </is>
      </c>
      <c r="E7" s="48" t="inlineStr">
        <is>
          <t>Turn Log</t>
        </is>
      </c>
      <c r="F7" s="48" t="inlineStr">
        <is>
          <t>Use to count regressions.</t>
        </is>
      </c>
    </row>
    <row r="8">
      <c r="A8" s="55" t="inlineStr">
        <is>
          <t>pass_within_T</t>
        </is>
      </c>
      <c r="B8" s="53" t="inlineStr">
        <is>
          <t>Run</t>
        </is>
      </c>
      <c r="C8" s="48" t="inlineStr">
        <is>
          <t>Whether the run reached Pass within the turn budget</t>
        </is>
      </c>
      <c r="D8" s="48" t="inlineStr">
        <is>
          <t>Yes if first_pass_turn is not blank</t>
        </is>
      </c>
      <c r="E8" s="48" t="inlineStr">
        <is>
          <t>Run Summary</t>
        </is>
      </c>
      <c r="F8" s="48" t="inlineStr">
        <is>
          <t>Primary success indicator per run.</t>
        </is>
      </c>
    </row>
    <row r="9">
      <c r="A9" s="55" t="inlineStr">
        <is>
          <t>first_pass_turn</t>
        </is>
      </c>
      <c r="B9" s="53" t="inlineStr">
        <is>
          <t>Run</t>
        </is>
      </c>
      <c r="C9" s="48" t="inlineStr">
        <is>
          <t>Earliest turn that reached Pass</t>
        </is>
      </c>
      <c r="D9" s="48" t="inlineStr">
        <is>
          <t>MINIFS over Turn Log turn_no where exec_state = Pass</t>
        </is>
      </c>
      <c r="E9" s="48" t="inlineStr">
        <is>
          <t>Run Summary</t>
        </is>
      </c>
      <c r="F9" s="48" t="inlineStr">
        <is>
          <t>Lower means faster convergence.</t>
        </is>
      </c>
    </row>
    <row r="10">
      <c r="A10" s="55" t="inlineStr">
        <is>
          <t>oscillations</t>
        </is>
      </c>
      <c r="B10" s="53" t="inlineStr">
        <is>
          <t>Run</t>
        </is>
      </c>
      <c r="C10" s="48" t="inlineStr">
        <is>
          <t>Count of state changes</t>
        </is>
      </c>
      <c r="D10" s="48" t="inlineStr">
        <is>
          <t>COUNTIFS state_change = 1 for the run</t>
        </is>
      </c>
      <c r="E10" s="48" t="inlineStr">
        <is>
          <t>Run Summary</t>
        </is>
      </c>
      <c r="F10" s="48" t="inlineStr">
        <is>
          <t>High values suggest unstable refinement.</t>
        </is>
      </c>
    </row>
    <row r="11">
      <c r="A11" s="55" t="inlineStr">
        <is>
          <t>reexec_passes</t>
        </is>
      </c>
      <c r="B11" s="53" t="inlineStr">
        <is>
          <t>Stability</t>
        </is>
      </c>
      <c r="C11" s="48" t="inlineStr">
        <is>
          <t>Number of successful re-execution checks</t>
        </is>
      </c>
      <c r="D11" s="48" t="inlineStr">
        <is>
          <t>COUNTIFS in Stability Checks</t>
        </is>
      </c>
      <c r="E11" s="48" t="inlineStr">
        <is>
          <t>Run Summary</t>
        </is>
      </c>
      <c r="F11" s="48" t="inlineStr">
        <is>
          <t>Higher means the final SQL is execution-stable.</t>
        </is>
      </c>
    </row>
    <row r="12">
      <c r="A12" s="55" t="inlineStr">
        <is>
          <t>reprompt_passes</t>
        </is>
      </c>
      <c r="B12" s="53" t="inlineStr">
        <is>
          <t>Stability</t>
        </is>
      </c>
      <c r="C12" s="48" t="inlineStr">
        <is>
          <t>Number of successful re-prompt checks</t>
        </is>
      </c>
      <c r="D12" s="48" t="inlineStr">
        <is>
          <t>COUNTIFS in Stability Checks</t>
        </is>
      </c>
      <c r="E12" s="48" t="inlineStr">
        <is>
          <t>Run Summary</t>
        </is>
      </c>
      <c r="F12" s="48" t="inlineStr">
        <is>
          <t>Higher means the solution is prompt-stable.</t>
        </is>
      </c>
    </row>
    <row r="21" ht="15.75" customHeight="1" s="40"/>
    <row r="22" ht="15.75" customHeight="1" s="40"/>
    <row r="23" ht="15.75" customHeight="1" s="40"/>
    <row r="24" ht="15.75" customHeight="1" s="40"/>
    <row r="25" ht="15.75" customHeight="1" s="40"/>
    <row r="26" ht="15.75" customHeight="1" s="40"/>
    <row r="27" ht="15.75" customHeight="1" s="40"/>
    <row r="28" ht="15.75" customHeight="1" s="40"/>
    <row r="29" ht="15.75" customHeight="1" s="40"/>
    <row r="30" ht="15.75" customHeight="1" s="40"/>
    <row r="31" ht="15.75" customHeight="1" s="40"/>
    <row r="32" ht="15.75" customHeight="1" s="40"/>
    <row r="33" ht="15.75" customHeight="1" s="40"/>
    <row r="34" ht="15.75" customHeight="1" s="40"/>
    <row r="35" ht="15.75" customHeight="1" s="40"/>
    <row r="36" ht="15.75" customHeight="1" s="40"/>
    <row r="37" ht="15.75" customHeight="1" s="40"/>
    <row r="38" ht="15.75" customHeight="1" s="40"/>
    <row r="39" ht="15.75" customHeight="1" s="40"/>
    <row r="40" ht="15.75" customHeight="1" s="40"/>
    <row r="41" ht="15.75" customHeight="1" s="40"/>
    <row r="42" ht="15.75" customHeight="1" s="40"/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autoFilter ref="$A$3:$F$100"/>
  <mergeCells count="1">
    <mergeCell ref="A1:F1"/>
  </mergeCells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ColWidth="14.43" defaultRowHeight="15" customHeight="1"/>
  <cols>
    <col width="18" customWidth="1" style="40" min="1" max="10"/>
    <col width="8.710000000000001" customWidth="1" style="40" min="11" max="26"/>
  </cols>
  <sheetData>
    <row r="1" ht="24" customHeight="1" s="40">
      <c r="A1" s="51" t="inlineStr">
        <is>
          <t>Example Filled Run (Illustrative)</t>
        </is>
      </c>
    </row>
    <row r="2">
      <c r="A2" s="31" t="inlineStr">
        <is>
          <t>This sheet shows what a two-turn run can look like in the workbook. Do not treat the values here as real benchmark results.</t>
        </is>
      </c>
      <c r="B2" s="43" t="n"/>
      <c r="C2" s="43" t="n"/>
      <c r="D2" s="43" t="n"/>
      <c r="E2" s="43" t="n"/>
      <c r="F2" s="43" t="n"/>
      <c r="G2" s="43" t="n"/>
      <c r="H2" s="43" t="n"/>
      <c r="I2" s="43" t="n"/>
      <c r="J2" s="43" t="n"/>
    </row>
    <row r="4" ht="19.5" customHeight="1" s="40">
      <c r="A4" s="44" t="inlineStr">
        <is>
          <t>Run header</t>
        </is>
      </c>
    </row>
    <row r="5" ht="27.75" customHeight="1" s="40">
      <c r="A5" s="46" t="inlineStr">
        <is>
          <t>run_id</t>
        </is>
      </c>
      <c r="B5" s="46" t="inlineStr">
        <is>
          <t>task_id</t>
        </is>
      </c>
      <c r="C5" s="46" t="inlineStr">
        <is>
          <t>model_id</t>
        </is>
      </c>
      <c r="D5" s="46" t="inlineStr">
        <is>
          <t>protocol</t>
        </is>
      </c>
      <c r="E5" s="46" t="inlineStr">
        <is>
          <t>T_max</t>
        </is>
      </c>
      <c r="F5" s="46" t="inlineStr">
        <is>
          <t>first state</t>
        </is>
      </c>
      <c r="G5" s="46" t="inlineStr">
        <is>
          <t>final state</t>
        </is>
      </c>
      <c r="H5" s="46" t="inlineStr">
        <is>
          <t>first pass turn</t>
        </is>
      </c>
      <c r="I5" s="46" t="inlineStr">
        <is>
          <t>regressions</t>
        </is>
      </c>
      <c r="J5" s="46" t="inlineStr">
        <is>
          <t>notes</t>
        </is>
      </c>
    </row>
    <row r="6">
      <c r="A6" s="55" t="inlineStr">
        <is>
          <t>PILOT-LOCAL056-GPT51-F1-R1</t>
        </is>
      </c>
      <c r="B6" s="55" t="inlineStr">
        <is>
          <t>local056</t>
        </is>
      </c>
      <c r="C6" s="55" t="inlineStr">
        <is>
          <t>gpt-5.1</t>
        </is>
      </c>
      <c r="D6" s="54" t="inlineStr">
        <is>
          <t>F1</t>
        </is>
      </c>
      <c r="E6" s="56" t="n">
        <v>5</v>
      </c>
      <c r="F6" s="56" t="inlineStr">
        <is>
          <t>RuntimeError</t>
        </is>
      </c>
      <c r="G6" s="30" t="inlineStr">
        <is>
          <t>Pass</t>
        </is>
      </c>
      <c r="H6" s="30" t="n">
        <v>2</v>
      </c>
      <c r="I6" s="56" t="n">
        <v>0</v>
      </c>
      <c r="J6" s="31" t="inlineStr">
        <is>
          <t>Illustrative only</t>
        </is>
      </c>
    </row>
    <row r="8" ht="19.5" customHeight="1" s="40">
      <c r="A8" s="44" t="inlineStr">
        <is>
          <t>Turn-level view</t>
        </is>
      </c>
    </row>
    <row r="9" ht="27.75" customHeight="1" s="40">
      <c r="A9" s="46" t="inlineStr">
        <is>
          <t>turn_no</t>
        </is>
      </c>
      <c r="B9" s="46" t="inlineStr">
        <is>
          <t>prompt sent</t>
        </is>
      </c>
      <c r="C9" s="46" t="inlineStr">
        <is>
          <t>observed issue</t>
        </is>
      </c>
      <c r="D9" s="46" t="inlineStr">
        <is>
          <t>feedback used</t>
        </is>
      </c>
      <c r="E9" s="46" t="inlineStr">
        <is>
          <t>next action</t>
        </is>
      </c>
      <c r="F9" s="46" t="inlineStr">
        <is>
          <t>label</t>
        </is>
      </c>
      <c r="G9" s="46" t="inlineStr">
        <is>
          <t>severity</t>
        </is>
      </c>
      <c r="H9" s="46" t="inlineStr">
        <is>
          <t>state change</t>
        </is>
      </c>
      <c r="I9" s="46" t="inlineStr">
        <is>
          <t>regressed</t>
        </is>
      </c>
      <c r="J9" s="46" t="inlineStr">
        <is>
          <t>evidence</t>
        </is>
      </c>
    </row>
    <row r="10">
      <c r="A10" s="47" t="n">
        <v>1</v>
      </c>
      <c r="B10" s="50" t="inlineStr">
        <is>
          <t>Turn 1 prompt with schema + question</t>
        </is>
      </c>
      <c r="C10" s="48" t="inlineStr">
        <is>
          <t>SQLite error: no such function DATE_TRUNC</t>
        </is>
      </c>
      <c r="D10" s="50" t="inlineStr">
        <is>
          <t>F1 engine error text</t>
        </is>
      </c>
      <c r="E10" s="50" t="inlineStr">
        <is>
          <t>Revise date bucketing function</t>
        </is>
      </c>
      <c r="F10" s="32" t="inlineStr">
        <is>
          <t>RuntimeError</t>
        </is>
      </c>
      <c r="G10" s="47" t="n">
        <v>2</v>
      </c>
      <c r="H10" s="47" t="n"/>
      <c r="I10" s="47" t="n">
        <v>0</v>
      </c>
      <c r="J10" s="50" t="inlineStr">
        <is>
          <t>response_turn01.json</t>
        </is>
      </c>
    </row>
    <row r="11">
      <c r="A11" s="47" t="n">
        <v>2</v>
      </c>
      <c r="B11" s="50" t="inlineStr">
        <is>
          <t>Turn 2 prompt with previous SQL + engine error</t>
        </is>
      </c>
      <c r="C11" s="48" t="inlineStr">
        <is>
          <t>Output matched oracle table</t>
        </is>
      </c>
      <c r="D11" s="50" t="inlineStr">
        <is>
          <t>Stop early</t>
        </is>
      </c>
      <c r="E11" s="50" t="inlineStr">
        <is>
          <t>Run stability checks</t>
        </is>
      </c>
      <c r="F11" s="30" t="inlineStr">
        <is>
          <t>Pass</t>
        </is>
      </c>
      <c r="G11" s="47" t="n">
        <v>0</v>
      </c>
      <c r="H11" s="47" t="n">
        <v>1</v>
      </c>
      <c r="I11" s="47" t="n">
        <v>0</v>
      </c>
      <c r="J11" s="50" t="inlineStr">
        <is>
          <t>response_turn02.json</t>
        </is>
      </c>
    </row>
    <row r="21" ht="15.75" customHeight="1" s="40"/>
    <row r="22" ht="15.75" customHeight="1" s="40"/>
    <row r="23" ht="15.75" customHeight="1" s="40"/>
    <row r="24" ht="15.75" customHeight="1" s="40"/>
    <row r="25" ht="15.75" customHeight="1" s="40"/>
    <row r="26" ht="15.75" customHeight="1" s="40"/>
    <row r="27" ht="15.75" customHeight="1" s="40"/>
    <row r="28" ht="15.75" customHeight="1" s="40"/>
    <row r="29" ht="15.75" customHeight="1" s="40"/>
    <row r="30" ht="15.75" customHeight="1" s="40"/>
    <row r="31" ht="15.75" customHeight="1" s="40"/>
    <row r="32" ht="15.75" customHeight="1" s="40"/>
    <row r="33" ht="15.75" customHeight="1" s="40"/>
    <row r="34" ht="15.75" customHeight="1" s="40"/>
    <row r="35" ht="15.75" customHeight="1" s="40"/>
    <row r="36" ht="15.75" customHeight="1" s="40"/>
    <row r="37" ht="15.75" customHeight="1" s="40"/>
    <row r="38" ht="15.75" customHeight="1" s="40"/>
    <row r="39" ht="15.75" customHeight="1" s="40"/>
    <row r="40" ht="15.75" customHeight="1" s="40"/>
    <row r="41" ht="15.75" customHeight="1" s="40"/>
    <row r="42" ht="15.75" customHeight="1" s="40"/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mergeCells count="4">
    <mergeCell ref="A1:J1"/>
    <mergeCell ref="A4:J4"/>
    <mergeCell ref="A8:J8"/>
    <mergeCell ref="A2:J2"/>
  </mergeCells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ColWidth="14.43" defaultRowHeight="15" customHeight="1"/>
  <cols>
    <col width="4" customWidth="1" style="40" min="1" max="1"/>
    <col width="18" customWidth="1" style="40" min="2" max="8"/>
    <col width="8.710000000000001" customWidth="1" style="40" min="9" max="26"/>
  </cols>
  <sheetData>
    <row r="1" ht="24" customHeight="1" s="40">
      <c r="A1" s="51" t="inlineStr">
        <is>
          <t>Dashboard</t>
        </is>
      </c>
    </row>
    <row r="3">
      <c r="B3" s="33" t="inlineStr">
        <is>
          <t>Planned runs</t>
        </is>
      </c>
      <c r="C3" s="43" t="n"/>
      <c r="D3" s="33" t="inlineStr">
        <is>
          <t>Runs with Pass</t>
        </is>
      </c>
      <c r="E3" s="43" t="n"/>
      <c r="F3" s="33" t="inlineStr">
        <is>
          <t>Avg first pass turn</t>
        </is>
      </c>
      <c r="G3" s="43" t="n"/>
    </row>
    <row r="4">
      <c r="B4" s="57">
        <f>COUNTIF('Run Plan'!A:A,"&lt;&gt;")-1</f>
        <v/>
      </c>
      <c r="D4" s="58">
        <f>COUNTIF('Run Summary'!O:O,"Yes")</f>
        <v/>
      </c>
      <c r="F4" s="59">
        <f>IFERROR(AVERAGEIF('Run Summary'!H:H,"&gt;0",'Run Summary'!H:H),"")</f>
        <v/>
      </c>
    </row>
    <row r="5">
      <c r="B5" s="43" t="n"/>
      <c r="C5" s="43" t="n"/>
      <c r="D5" s="43" t="n"/>
      <c r="E5" s="43" t="n"/>
      <c r="F5" s="43" t="n"/>
      <c r="G5" s="43" t="n"/>
    </row>
    <row r="7">
      <c r="B7" s="33" t="inlineStr">
        <is>
          <t>Avg regressions</t>
        </is>
      </c>
      <c r="C7" s="43" t="n"/>
      <c r="D7" s="33" t="inlineStr">
        <is>
          <t>Runs logged</t>
        </is>
      </c>
      <c r="E7" s="43" t="n"/>
      <c r="F7" s="33" t="inlineStr">
        <is>
          <t>Stability checks</t>
        </is>
      </c>
      <c r="G7" s="43" t="n"/>
    </row>
    <row r="8">
      <c r="B8" s="60">
        <f>IFERROR(AVERAGEIF('Run Summary'!M:M,"&gt;=0",'Run Summary'!M:M),"")</f>
        <v/>
      </c>
      <c r="D8" s="61">
        <f>COUNTIF('Run Summary'!A:A,"&lt;&gt;")-1</f>
        <v/>
      </c>
      <c r="F8" s="62">
        <f>COUNTIF('Stability Checks'!A:A,"&lt;&gt;")-1</f>
        <v/>
      </c>
    </row>
    <row r="9">
      <c r="B9" s="43" t="n"/>
      <c r="C9" s="43" t="n"/>
      <c r="D9" s="43" t="n"/>
      <c r="E9" s="43" t="n"/>
      <c r="F9" s="43" t="n"/>
      <c r="G9" s="43" t="n"/>
    </row>
    <row r="12" ht="19.5" customHeight="1" s="40">
      <c r="A12" s="44" t="inlineStr">
        <is>
          <t>How to use the dashboard</t>
        </is>
      </c>
    </row>
    <row r="13">
      <c r="A13" s="53" t="inlineStr">
        <is>
          <t>1) Filter Run Summary by model_id or protocol_id to create per-model screenshots.
2) Use Turn Log to build a transition matrix pivot (prev_state → exec_state).
3) Use the same run_id in filenames, SQL exports, screenshots, and recording timestamps so every claim can be traced back to raw evidence.</t>
        </is>
      </c>
    </row>
    <row r="14"/>
    <row r="15"/>
    <row r="16">
      <c r="A16" s="43" t="n"/>
      <c r="B16" s="43" t="n"/>
      <c r="C16" s="43" t="n"/>
      <c r="D16" s="43" t="n"/>
      <c r="E16" s="43" t="n"/>
      <c r="F16" s="43" t="n"/>
      <c r="G16" s="43" t="n"/>
      <c r="H16" s="43" t="n"/>
    </row>
    <row r="21" ht="15.75" customHeight="1" s="40"/>
    <row r="22" ht="15.75" customHeight="1" s="40"/>
    <row r="23" ht="15.75" customHeight="1" s="40"/>
    <row r="24" ht="15.75" customHeight="1" s="40"/>
    <row r="25" ht="15.75" customHeight="1" s="40"/>
    <row r="26" ht="15.75" customHeight="1" s="40"/>
    <row r="27" ht="15.75" customHeight="1" s="40"/>
    <row r="28" ht="15.75" customHeight="1" s="40"/>
    <row r="29" ht="15.75" customHeight="1" s="40"/>
    <row r="30" ht="15.75" customHeight="1" s="40"/>
    <row r="31" ht="15.75" customHeight="1" s="40"/>
    <row r="32" ht="15.75" customHeight="1" s="40"/>
    <row r="33" ht="15.75" customHeight="1" s="40"/>
    <row r="34" ht="15.75" customHeight="1" s="40"/>
    <row r="35" ht="15.75" customHeight="1" s="40"/>
    <row r="36" ht="15.75" customHeight="1" s="40"/>
    <row r="37" ht="15.75" customHeight="1" s="40"/>
    <row r="38" ht="15.75" customHeight="1" s="40"/>
    <row r="39" ht="15.75" customHeight="1" s="40"/>
    <row r="40" ht="15.75" customHeight="1" s="40"/>
    <row r="41" ht="15.75" customHeight="1" s="40"/>
    <row r="42" ht="15.75" customHeight="1" s="40"/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mergeCells count="15">
    <mergeCell ref="A12:H12"/>
    <mergeCell ref="F3:G3"/>
    <mergeCell ref="F8:G9"/>
    <mergeCell ref="D8:E9"/>
    <mergeCell ref="B8:C9"/>
    <mergeCell ref="D4:E5"/>
    <mergeCell ref="D7:E7"/>
    <mergeCell ref="B7:C7"/>
    <mergeCell ref="F4:G5"/>
    <mergeCell ref="B3:C3"/>
    <mergeCell ref="A1:H1"/>
    <mergeCell ref="D3:E3"/>
    <mergeCell ref="A13:H16"/>
    <mergeCell ref="F7:G7"/>
    <mergeCell ref="B4:C5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2026-03-10T15:16:17Z</dcterms:created>
  <dcterms:modified xsi:type="dcterms:W3CDTF">2026-03-10T18:23:12Z</dcterms:modified>
</cp:coreProperties>
</file>